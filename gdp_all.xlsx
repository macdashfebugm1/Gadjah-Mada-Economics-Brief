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iastut.SU\Downloads\"/>
    </mc:Choice>
  </mc:AlternateContent>
  <xr:revisionPtr revIDLastSave="0" documentId="13_ncr:1_{DE3FDCB5-808F-4F33-9A6E-CE04F4B41B7F}" xr6:coauthVersionLast="47" xr6:coauthVersionMax="47" xr10:uidLastSave="{00000000-0000-0000-0000-000000000000}"/>
  <bookViews>
    <workbookView xWindow="-22245" yWindow="780" windowWidth="19725" windowHeight="14595" xr2:uid="{00000000-000D-0000-FFFF-FFFF00000000}"/>
  </bookViews>
  <sheets>
    <sheet name="My Series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L66" i="1"/>
  <c r="M66" i="1"/>
  <c r="N66" i="1"/>
  <c r="O66" i="1"/>
  <c r="P66" i="1"/>
  <c r="Q66" i="1"/>
  <c r="J66" i="1"/>
</calcChain>
</file>

<file path=xl/sharedStrings.xml><?xml version="1.0" encoding="utf-8"?>
<sst xmlns="http://schemas.openxmlformats.org/spreadsheetml/2006/main" count="17" uniqueCount="17">
  <si>
    <t>date</t>
  </si>
  <si>
    <t>gdp</t>
  </si>
  <si>
    <t>c</t>
  </si>
  <si>
    <t>g</t>
  </si>
  <si>
    <t>i</t>
  </si>
  <si>
    <t>ch_stock</t>
  </si>
  <si>
    <t>stat_dis</t>
  </si>
  <si>
    <t>ex</t>
  </si>
  <si>
    <t>im</t>
  </si>
  <si>
    <t>diff_gdp</t>
  </si>
  <si>
    <t>diff_c</t>
  </si>
  <si>
    <t>diff_g</t>
  </si>
  <si>
    <t>diff_i</t>
  </si>
  <si>
    <t>diff_ch_stock</t>
  </si>
  <si>
    <t>diff_stat_dis</t>
  </si>
  <si>
    <t>diff_ex</t>
  </si>
  <si>
    <t>diff_im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</si>
</sst>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zoomScale="85" zoomScaleNormal="85" workbookViewId="0">
      <selection sqref="A1:P1"/>
    </sheetView>
  </sheetViews>
  <sheetFormatPr defaultRowHeight="14.4" x14ac:dyDescent="0.3"/>
  <cols>
    <col min="1" max="17" width="12.77734375" customWidth="1"/>
    <col min="18" max="18" width="9.5546875" bestFit="1" customWidth="1"/>
  </cols>
  <sheetData>
    <row r="1" spans="1:17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1">
        <v>40330</v>
      </c>
      <c r="B2" s="2">
        <v>1702567.7588118699</v>
      </c>
      <c r="C2" s="2">
        <v>1109915.23849786</v>
      </c>
      <c r="D2" s="2">
        <v>146394.58517535299</v>
      </c>
      <c r="E2" s="2">
        <v>526730.86124699796</v>
      </c>
      <c r="F2" s="2">
        <v>30796.820902567099</v>
      </c>
      <c r="G2" s="2">
        <v>9523.11935381902</v>
      </c>
      <c r="H2" s="2">
        <v>403184.20539831102</v>
      </c>
      <c r="I2" s="2">
        <v>376931.190886155</v>
      </c>
      <c r="J2" s="2">
        <v>26534.543556710007</v>
      </c>
      <c r="K2" s="2">
        <v>11696.286275350023</v>
      </c>
      <c r="L2" s="2">
        <v>-10167.200281721016</v>
      </c>
      <c r="M2" s="2">
        <v>11148.639469512971</v>
      </c>
      <c r="N2" s="2">
        <v>8664.4431510461982</v>
      </c>
      <c r="O2" s="2">
        <v>633.97406843377939</v>
      </c>
      <c r="P2" s="2">
        <v>-2499.8265883689746</v>
      </c>
      <c r="Q2" s="2">
        <v>9867.4034889420145</v>
      </c>
    </row>
    <row r="3" spans="1:17" x14ac:dyDescent="0.3">
      <c r="A3" s="1">
        <v>40422</v>
      </c>
      <c r="B3" s="2">
        <v>1729249.6150497899</v>
      </c>
      <c r="C3" s="2">
        <v>1123360.0224299899</v>
      </c>
      <c r="D3" s="2">
        <v>158969.918589943</v>
      </c>
      <c r="E3" s="2">
        <v>537638.23268134799</v>
      </c>
      <c r="F3" s="2">
        <v>44442.547911463203</v>
      </c>
      <c r="G3" s="3">
        <v>-15676.11210550758</v>
      </c>
      <c r="H3" s="2">
        <v>412215.428146747</v>
      </c>
      <c r="I3" s="2">
        <v>386999.817094678</v>
      </c>
      <c r="J3" s="2">
        <v>26681.856237920001</v>
      </c>
      <c r="K3" s="2">
        <v>13444.783932129852</v>
      </c>
      <c r="L3" s="2">
        <v>12575.333414590015</v>
      </c>
      <c r="M3" s="2">
        <v>10907.371434350032</v>
      </c>
      <c r="N3" s="2">
        <v>13645.727008896105</v>
      </c>
      <c r="O3" s="2">
        <v>-25199.231459326598</v>
      </c>
      <c r="P3" s="2">
        <v>9031.2227484359755</v>
      </c>
      <c r="Q3" s="2">
        <v>10068.626208522997</v>
      </c>
    </row>
    <row r="4" spans="1:17" x14ac:dyDescent="0.3">
      <c r="A4" s="1">
        <v>40513</v>
      </c>
      <c r="B4" s="2">
        <v>1755812.4484109101</v>
      </c>
      <c r="C4" s="2">
        <v>1139566.7986725001</v>
      </c>
      <c r="D4" s="2">
        <v>156253.00375728001</v>
      </c>
      <c r="E4" s="2">
        <v>547860.69966635597</v>
      </c>
      <c r="F4" s="2">
        <v>38716.038086510103</v>
      </c>
      <c r="G4" s="3">
        <v>-8844.2654529641877</v>
      </c>
      <c r="H4" s="2">
        <v>445589.97169519297</v>
      </c>
      <c r="I4" s="2">
        <v>405088.11806822399</v>
      </c>
      <c r="J4" s="2">
        <v>26562.833361120196</v>
      </c>
      <c r="K4" s="2">
        <v>16206.776242510183</v>
      </c>
      <c r="L4" s="2">
        <v>-2716.9148326629947</v>
      </c>
      <c r="M4" s="2">
        <v>10222.466985007981</v>
      </c>
      <c r="N4" s="2">
        <v>-5726.5098249531002</v>
      </c>
      <c r="O4" s="2">
        <v>6831.8466525433923</v>
      </c>
      <c r="P4" s="2">
        <v>33374.543548445974</v>
      </c>
      <c r="Q4" s="2">
        <v>18088.300973545993</v>
      </c>
    </row>
    <row r="5" spans="1:17" x14ac:dyDescent="0.3">
      <c r="A5" s="1">
        <v>40603</v>
      </c>
      <c r="B5" s="2">
        <v>1782452.36373986</v>
      </c>
      <c r="C5" s="2">
        <v>1150212.74481453</v>
      </c>
      <c r="D5" s="2">
        <v>165165.00140772801</v>
      </c>
      <c r="E5" s="2">
        <v>560699.73699502798</v>
      </c>
      <c r="F5" s="2">
        <v>38951.937961358599</v>
      </c>
      <c r="G5" s="3">
        <v>-4600.8148560120808</v>
      </c>
      <c r="H5" s="2">
        <v>452089.24163591501</v>
      </c>
      <c r="I5" s="2">
        <v>420543.05530606298</v>
      </c>
      <c r="J5" s="2">
        <v>26639.915328949923</v>
      </c>
      <c r="K5" s="2">
        <v>10645.946142029949</v>
      </c>
      <c r="L5" s="2">
        <v>8911.9976504480001</v>
      </c>
      <c r="M5" s="2">
        <v>12839.037328672013</v>
      </c>
      <c r="N5" s="2">
        <v>235.89987484849553</v>
      </c>
      <c r="O5" s="2">
        <v>4243.4505969521069</v>
      </c>
      <c r="P5" s="2">
        <v>6499.2699407220352</v>
      </c>
      <c r="Q5" s="2">
        <v>15454.937237838982</v>
      </c>
    </row>
    <row r="6" spans="1:17" x14ac:dyDescent="0.3">
      <c r="A6" s="1">
        <v>40695</v>
      </c>
      <c r="B6" s="2">
        <v>1808789.9071611101</v>
      </c>
      <c r="C6" s="2">
        <v>1163633.4779268701</v>
      </c>
      <c r="D6" s="2">
        <v>156891.27655087499</v>
      </c>
      <c r="E6" s="2">
        <v>570924.93728785298</v>
      </c>
      <c r="F6" s="2">
        <v>33665.112268448996</v>
      </c>
      <c r="G6" s="3">
        <v>-3752.6797697940501</v>
      </c>
      <c r="H6" s="2">
        <v>482685.52920014103</v>
      </c>
      <c r="I6" s="2">
        <v>429882.46702952002</v>
      </c>
      <c r="J6" s="2">
        <v>26337.54342125007</v>
      </c>
      <c r="K6" s="2">
        <v>13420.733112340095</v>
      </c>
      <c r="L6" s="2">
        <v>-8273.7248568530194</v>
      </c>
      <c r="M6" s="2">
        <v>10225.200292825</v>
      </c>
      <c r="N6" s="2">
        <v>-5286.8256929096024</v>
      </c>
      <c r="O6" s="2">
        <v>848.13508621803066</v>
      </c>
      <c r="P6" s="2">
        <v>30596.287564226019</v>
      </c>
      <c r="Q6" s="2">
        <v>9339.411723457044</v>
      </c>
    </row>
    <row r="7" spans="1:17" x14ac:dyDescent="0.3">
      <c r="A7" s="1">
        <v>40787</v>
      </c>
      <c r="B7" s="2">
        <v>1835928.7361001901</v>
      </c>
      <c r="C7" s="2">
        <v>1187100.3340497201</v>
      </c>
      <c r="D7" s="2">
        <v>166232.95989467701</v>
      </c>
      <c r="E7" s="2">
        <v>582624.08162197005</v>
      </c>
      <c r="F7" s="2">
        <v>31332.541911131899</v>
      </c>
      <c r="G7" s="2">
        <v>189.65548628698201</v>
      </c>
      <c r="H7" s="2">
        <v>498656.97483037203</v>
      </c>
      <c r="I7" s="2">
        <v>457525.51879654097</v>
      </c>
      <c r="J7" s="2">
        <v>27138.828939080006</v>
      </c>
      <c r="K7" s="2">
        <v>23466.856122849975</v>
      </c>
      <c r="L7" s="2">
        <v>9341.6833438020258</v>
      </c>
      <c r="M7" s="2">
        <v>11699.144334117067</v>
      </c>
      <c r="N7" s="2">
        <v>-2332.5703573170977</v>
      </c>
      <c r="O7" s="2">
        <v>3942.3352560810322</v>
      </c>
      <c r="P7" s="2">
        <v>15971.445630230999</v>
      </c>
      <c r="Q7" s="2">
        <v>27643.051767020952</v>
      </c>
    </row>
    <row r="8" spans="1:17" x14ac:dyDescent="0.3">
      <c r="A8" s="1">
        <v>40878</v>
      </c>
      <c r="B8" s="2">
        <v>1862662.4792033599</v>
      </c>
      <c r="C8" s="2">
        <v>1201931.5555026699</v>
      </c>
      <c r="D8" s="2">
        <v>163999.74007298099</v>
      </c>
      <c r="E8" s="2">
        <v>596577.17285600305</v>
      </c>
      <c r="F8" s="2">
        <v>28376.257019577399</v>
      </c>
      <c r="G8" s="2">
        <v>7643.2942528597496</v>
      </c>
      <c r="H8" s="2">
        <v>480639.97227744898</v>
      </c>
      <c r="I8" s="2">
        <v>459888.26572491397</v>
      </c>
      <c r="J8" s="2">
        <v>26733.743103169836</v>
      </c>
      <c r="K8" s="2">
        <v>14831.221452949801</v>
      </c>
      <c r="L8" s="2">
        <v>-2233.2198216960242</v>
      </c>
      <c r="M8" s="2">
        <v>13953.091234032996</v>
      </c>
      <c r="N8" s="2">
        <v>-2956.2848915545001</v>
      </c>
      <c r="O8" s="2">
        <v>7453.638766572768</v>
      </c>
      <c r="P8" s="2">
        <v>-18017.002552923048</v>
      </c>
      <c r="Q8" s="2">
        <v>2362.7469283730024</v>
      </c>
    </row>
    <row r="9" spans="1:17" x14ac:dyDescent="0.3">
      <c r="A9" s="1">
        <v>40969</v>
      </c>
      <c r="B9" s="2">
        <v>1890521.4245960901</v>
      </c>
      <c r="C9" s="2">
        <v>1216382.54104013</v>
      </c>
      <c r="D9" s="2">
        <v>173746.55050954901</v>
      </c>
      <c r="E9" s="2">
        <v>609835.08479622495</v>
      </c>
      <c r="F9" s="2">
        <v>43416.991015006803</v>
      </c>
      <c r="G9" s="2">
        <v>5519.0687918972999</v>
      </c>
      <c r="H9" s="2">
        <v>482870.19890832802</v>
      </c>
      <c r="I9" s="2">
        <v>468383.968530696</v>
      </c>
      <c r="J9" s="2">
        <v>27858.94539273018</v>
      </c>
      <c r="K9" s="2">
        <v>14450.985537460074</v>
      </c>
      <c r="L9" s="2">
        <v>9746.8104365680192</v>
      </c>
      <c r="M9" s="2">
        <v>13257.911940221908</v>
      </c>
      <c r="N9" s="2">
        <v>15040.733995429404</v>
      </c>
      <c r="O9" s="2">
        <v>-2124.2254609624497</v>
      </c>
      <c r="P9" s="2">
        <v>2230.2266308790422</v>
      </c>
      <c r="Q9" s="2">
        <v>8495.702805782028</v>
      </c>
    </row>
    <row r="10" spans="1:17" x14ac:dyDescent="0.3">
      <c r="A10" s="1">
        <v>41061</v>
      </c>
      <c r="B10" s="2">
        <v>1917697.61541469</v>
      </c>
      <c r="C10" s="2">
        <v>1237509.8075709101</v>
      </c>
      <c r="D10" s="2">
        <v>181288.16148353601</v>
      </c>
      <c r="E10" s="2">
        <v>625275.79401359695</v>
      </c>
      <c r="F10" s="2">
        <v>38061.553185001903</v>
      </c>
      <c r="G10" s="2">
        <v>11058.949525922801</v>
      </c>
      <c r="H10" s="2">
        <v>491004.49094877898</v>
      </c>
      <c r="I10" s="2">
        <v>485016.98200760101</v>
      </c>
      <c r="J10" s="2">
        <v>27176.190818599891</v>
      </c>
      <c r="K10" s="2">
        <v>21127.266530780122</v>
      </c>
      <c r="L10" s="2">
        <v>7541.6109739870008</v>
      </c>
      <c r="M10" s="2">
        <v>15440.709217372001</v>
      </c>
      <c r="N10" s="2">
        <v>-5355.4378300048993</v>
      </c>
      <c r="O10" s="2">
        <v>5539.8807340255007</v>
      </c>
      <c r="P10" s="2">
        <v>8134.2920404509641</v>
      </c>
      <c r="Q10" s="2">
        <v>16633.013476905006</v>
      </c>
    </row>
    <row r="11" spans="1:17" x14ac:dyDescent="0.3">
      <c r="A11" s="1">
        <v>41153</v>
      </c>
      <c r="B11" s="2">
        <v>1944776.3520613899</v>
      </c>
      <c r="C11" s="2">
        <v>1243389.78729765</v>
      </c>
      <c r="D11" s="2">
        <v>163073.29710283599</v>
      </c>
      <c r="E11" s="2">
        <v>638529.27612753795</v>
      </c>
      <c r="F11" s="2">
        <v>39063.892279867498</v>
      </c>
      <c r="G11" s="2">
        <v>12954.9812666869</v>
      </c>
      <c r="H11" s="2">
        <v>485669.39412514598</v>
      </c>
      <c r="I11" s="2">
        <v>469248.65908459702</v>
      </c>
      <c r="J11" s="2">
        <v>27078.736646699952</v>
      </c>
      <c r="K11" s="2">
        <v>5879.9797267399263</v>
      </c>
      <c r="L11" s="2">
        <v>-18214.864380700019</v>
      </c>
      <c r="M11" s="2">
        <v>13253.482113940991</v>
      </c>
      <c r="N11" s="2">
        <v>1002.3390948655942</v>
      </c>
      <c r="O11" s="2">
        <v>1896.0317407640996</v>
      </c>
      <c r="P11" s="2">
        <v>-5335.0968236330082</v>
      </c>
      <c r="Q11" s="2">
        <v>-15768.322923003987</v>
      </c>
    </row>
    <row r="12" spans="1:17" x14ac:dyDescent="0.3">
      <c r="A12" s="1">
        <v>41244</v>
      </c>
      <c r="B12" s="2">
        <v>1971704.0230175401</v>
      </c>
      <c r="C12" s="2">
        <v>1260169.41156861</v>
      </c>
      <c r="D12" s="2">
        <v>163696.27985587099</v>
      </c>
      <c r="E12" s="2">
        <v>650568.21378115902</v>
      </c>
      <c r="F12" s="2">
        <v>45957.839024575602</v>
      </c>
      <c r="G12" s="2">
        <v>6989.7791360241099</v>
      </c>
      <c r="H12" s="2">
        <v>486288.54228003701</v>
      </c>
      <c r="I12" s="2">
        <v>488929.63973186503</v>
      </c>
      <c r="J12" s="2">
        <v>26927.670956150163</v>
      </c>
      <c r="K12" s="2">
        <v>16779.62427095999</v>
      </c>
      <c r="L12" s="2">
        <v>622.98275303500122</v>
      </c>
      <c r="M12" s="2">
        <v>12038.937653621077</v>
      </c>
      <c r="N12" s="2">
        <v>6893.9467447081042</v>
      </c>
      <c r="O12" s="2">
        <v>-5965.2021306627903</v>
      </c>
      <c r="P12" s="2">
        <v>619.14815489103785</v>
      </c>
      <c r="Q12" s="2">
        <v>19680.980647268007</v>
      </c>
    </row>
    <row r="13" spans="1:17" x14ac:dyDescent="0.3">
      <c r="A13" s="1">
        <v>41334</v>
      </c>
      <c r="B13" s="2">
        <v>1998600.5538013801</v>
      </c>
      <c r="C13" s="2">
        <v>1280462.5763734099</v>
      </c>
      <c r="D13" s="2">
        <v>177316.70314561101</v>
      </c>
      <c r="E13" s="2">
        <v>655936.10584353202</v>
      </c>
      <c r="F13" s="2">
        <v>33693.536095726202</v>
      </c>
      <c r="G13" s="2">
        <v>11161.2354878162</v>
      </c>
      <c r="H13" s="2">
        <v>498468.61341504502</v>
      </c>
      <c r="I13" s="2">
        <v>480061.67881533899</v>
      </c>
      <c r="J13" s="2">
        <v>26896.530783839989</v>
      </c>
      <c r="K13" s="2">
        <v>20293.164804799948</v>
      </c>
      <c r="L13" s="2">
        <v>13620.423289740022</v>
      </c>
      <c r="M13" s="2">
        <v>5367.8920623729937</v>
      </c>
      <c r="N13" s="2">
        <v>-12264.3029288494</v>
      </c>
      <c r="O13" s="2">
        <v>4171.4563517920906</v>
      </c>
      <c r="P13" s="2">
        <v>12180.071135008009</v>
      </c>
      <c r="Q13" s="2">
        <v>-8867.9609165260335</v>
      </c>
    </row>
    <row r="14" spans="1:17" x14ac:dyDescent="0.3">
      <c r="A14" s="1">
        <v>41426</v>
      </c>
      <c r="B14" s="2">
        <v>2025378.5779963101</v>
      </c>
      <c r="C14" s="2">
        <v>1300641.8758678699</v>
      </c>
      <c r="D14" s="2">
        <v>186545.028108328</v>
      </c>
      <c r="E14" s="2">
        <v>662264.30853221798</v>
      </c>
      <c r="F14" s="2">
        <v>37973.2853528751</v>
      </c>
      <c r="G14" s="2">
        <v>10217.0270970207</v>
      </c>
      <c r="H14" s="2">
        <v>502219.39987973101</v>
      </c>
      <c r="I14" s="2">
        <v>487306.96356296598</v>
      </c>
      <c r="J14" s="2">
        <v>26778.024194929982</v>
      </c>
      <c r="K14" s="2">
        <v>20179.299494459992</v>
      </c>
      <c r="L14" s="2">
        <v>9228.3249627169862</v>
      </c>
      <c r="M14" s="2">
        <v>6328.2026886859676</v>
      </c>
      <c r="N14" s="2">
        <v>4279.7492571488983</v>
      </c>
      <c r="O14" s="2">
        <v>-944.20839079550024</v>
      </c>
      <c r="P14" s="2">
        <v>3750.7864646859816</v>
      </c>
      <c r="Q14" s="2">
        <v>7245.2847476269817</v>
      </c>
    </row>
    <row r="15" spans="1:17" x14ac:dyDescent="0.3">
      <c r="A15" s="1">
        <v>41518</v>
      </c>
      <c r="B15" s="2">
        <v>2051341.0804725599</v>
      </c>
      <c r="C15" s="2">
        <v>1318244.85178304</v>
      </c>
      <c r="D15" s="2">
        <v>182200.02312962199</v>
      </c>
      <c r="E15" s="2">
        <v>669188.41326628195</v>
      </c>
      <c r="F15" s="2">
        <v>25819.3421484635</v>
      </c>
      <c r="G15" s="2">
        <v>49284.778099632997</v>
      </c>
      <c r="H15" s="2">
        <v>491794.35481714399</v>
      </c>
      <c r="I15" s="2">
        <v>493819.977496206</v>
      </c>
      <c r="J15" s="2">
        <v>25962.502476249821</v>
      </c>
      <c r="K15" s="2">
        <v>17602.975915170042</v>
      </c>
      <c r="L15" s="2">
        <v>-4345.0049787060125</v>
      </c>
      <c r="M15" s="2">
        <v>6924.1047340639634</v>
      </c>
      <c r="N15" s="2">
        <v>-12153.9432044116</v>
      </c>
      <c r="O15" s="2">
        <v>39067.751002612298</v>
      </c>
      <c r="P15" s="2">
        <v>-10425.045062587014</v>
      </c>
      <c r="Q15" s="2">
        <v>6513.0139332400286</v>
      </c>
    </row>
    <row r="16" spans="1:17" x14ac:dyDescent="0.3">
      <c r="A16" s="1">
        <v>41609</v>
      </c>
      <c r="B16" s="2">
        <v>2077569.3109786101</v>
      </c>
      <c r="C16" s="2">
        <v>1334772.72991498</v>
      </c>
      <c r="D16" s="2">
        <v>181719.89583187501</v>
      </c>
      <c r="E16" s="2">
        <v>674219.10107198602</v>
      </c>
      <c r="F16" s="2">
        <v>28551.699795767199</v>
      </c>
      <c r="G16" s="3">
        <v>-12028.845968242989</v>
      </c>
      <c r="H16" s="2">
        <v>533074.66835125396</v>
      </c>
      <c r="I16" s="2">
        <v>485985.65046541201</v>
      </c>
      <c r="J16" s="2">
        <v>26228.230506050168</v>
      </c>
      <c r="K16" s="2">
        <v>16527.87813194003</v>
      </c>
      <c r="L16" s="2">
        <v>-480.127297746978</v>
      </c>
      <c r="M16" s="2">
        <v>5030.687805704074</v>
      </c>
      <c r="N16" s="2">
        <v>2732.3576473036992</v>
      </c>
      <c r="O16" s="2">
        <v>-61313.624067875986</v>
      </c>
      <c r="P16" s="2">
        <v>41280.31353410997</v>
      </c>
      <c r="Q16" s="2">
        <v>-7834.3270307939965</v>
      </c>
    </row>
    <row r="17" spans="1:17" x14ac:dyDescent="0.3">
      <c r="A17" s="1">
        <v>41699</v>
      </c>
      <c r="B17" s="2">
        <v>2102505.0256971498</v>
      </c>
      <c r="C17" s="2">
        <v>1350153.3705180699</v>
      </c>
      <c r="D17" s="2">
        <v>184786.041876798</v>
      </c>
      <c r="E17" s="2">
        <v>683023.504303945</v>
      </c>
      <c r="F17" s="2">
        <v>34173.626421625297</v>
      </c>
      <c r="G17" s="2">
        <v>18415.620031717001</v>
      </c>
      <c r="H17" s="2">
        <v>512933.23547133902</v>
      </c>
      <c r="I17" s="2">
        <v>498638.925344738</v>
      </c>
      <c r="J17" s="2">
        <v>24935.714718539733</v>
      </c>
      <c r="K17" s="2">
        <v>15380.640603089938</v>
      </c>
      <c r="L17" s="2">
        <v>3066.1460449229926</v>
      </c>
      <c r="M17" s="2">
        <v>8804.4032319589751</v>
      </c>
      <c r="N17" s="2">
        <v>5621.9266258580974</v>
      </c>
      <c r="O17" s="2">
        <v>30444.46599995999</v>
      </c>
      <c r="P17" s="2">
        <v>-20141.432879914937</v>
      </c>
      <c r="Q17" s="2">
        <v>12653.274879325996</v>
      </c>
    </row>
    <row r="18" spans="1:17" x14ac:dyDescent="0.3">
      <c r="A18" s="1">
        <v>41791</v>
      </c>
      <c r="B18" s="2">
        <v>2127984.0468534702</v>
      </c>
      <c r="C18" s="2">
        <v>1362569.2547899699</v>
      </c>
      <c r="D18" s="2">
        <v>183323.58564469201</v>
      </c>
      <c r="E18" s="2">
        <v>690594.65441868803</v>
      </c>
      <c r="F18" s="2">
        <v>38277.649707062301</v>
      </c>
      <c r="G18" s="2">
        <v>20802.380632510602</v>
      </c>
      <c r="H18" s="2">
        <v>510436.00635500002</v>
      </c>
      <c r="I18" s="2">
        <v>497682.16390216799</v>
      </c>
      <c r="J18" s="2">
        <v>25479.021156320348</v>
      </c>
      <c r="K18" s="2">
        <v>12415.884271899937</v>
      </c>
      <c r="L18" s="2">
        <v>-1462.456232105993</v>
      </c>
      <c r="M18" s="2">
        <v>7571.150114743039</v>
      </c>
      <c r="N18" s="2">
        <v>4104.0232854370042</v>
      </c>
      <c r="O18" s="2">
        <v>2386.760600793601</v>
      </c>
      <c r="P18" s="2">
        <v>-2497.2291163390037</v>
      </c>
      <c r="Q18" s="2">
        <v>-956.76144257001579</v>
      </c>
    </row>
    <row r="19" spans="1:17" x14ac:dyDescent="0.3">
      <c r="A19" s="1">
        <v>41883</v>
      </c>
      <c r="B19" s="2">
        <v>2153355.1236444302</v>
      </c>
      <c r="C19" s="2">
        <v>1377470.1503210701</v>
      </c>
      <c r="D19" s="2">
        <v>184269.18992934501</v>
      </c>
      <c r="E19" s="2">
        <v>696509.41667215701</v>
      </c>
      <c r="F19" s="2">
        <v>38356.512079423097</v>
      </c>
      <c r="G19" s="2">
        <v>20478.449466455</v>
      </c>
      <c r="H19" s="2">
        <v>513967.06266985799</v>
      </c>
      <c r="I19" s="2">
        <v>492908.711144256</v>
      </c>
      <c r="J19" s="2">
        <v>25371.07679096004</v>
      </c>
      <c r="K19" s="2">
        <v>14900.895531100221</v>
      </c>
      <c r="L19" s="2">
        <v>945.60428465300356</v>
      </c>
      <c r="M19" s="2">
        <v>5914.7622534689726</v>
      </c>
      <c r="N19" s="2">
        <v>78.862372360796144</v>
      </c>
      <c r="O19" s="2">
        <v>-323.93116605560135</v>
      </c>
      <c r="P19" s="2">
        <v>3531.0563148579677</v>
      </c>
      <c r="Q19" s="2">
        <v>-4773.4527579119895</v>
      </c>
    </row>
    <row r="20" spans="1:17" x14ac:dyDescent="0.3">
      <c r="A20" s="1">
        <v>41974</v>
      </c>
      <c r="B20" s="2">
        <v>2178058.5475717802</v>
      </c>
      <c r="C20" s="2">
        <v>1392248.5576122601</v>
      </c>
      <c r="D20" s="2">
        <v>183872.408834228</v>
      </c>
      <c r="E20" s="2">
        <v>703251.21380820998</v>
      </c>
      <c r="F20" s="2">
        <v>46284.397882539903</v>
      </c>
      <c r="G20" s="2">
        <v>19404.8549234313</v>
      </c>
      <c r="H20" s="2">
        <v>512353.40027617099</v>
      </c>
      <c r="I20" s="2">
        <v>496177.01616971102</v>
      </c>
      <c r="J20" s="2">
        <v>24703.42392734997</v>
      </c>
      <c r="K20" s="2">
        <v>14778.40729119</v>
      </c>
      <c r="L20" s="2">
        <v>-396.78109511701041</v>
      </c>
      <c r="M20" s="2">
        <v>6741.7971360529773</v>
      </c>
      <c r="N20" s="2">
        <v>7927.8858031168056</v>
      </c>
      <c r="O20" s="2">
        <v>-1073.5945430237007</v>
      </c>
      <c r="P20" s="2">
        <v>-1613.6623936870019</v>
      </c>
      <c r="Q20" s="2">
        <v>3268.305025455018</v>
      </c>
    </row>
    <row r="21" spans="1:17" x14ac:dyDescent="0.3">
      <c r="A21" s="1">
        <v>42064</v>
      </c>
      <c r="B21" s="2">
        <v>2205096.1183235599</v>
      </c>
      <c r="C21" s="2">
        <v>1410218.52131836</v>
      </c>
      <c r="D21" s="2">
        <v>188617.82915528899</v>
      </c>
      <c r="E21" s="2">
        <v>713028.80510196195</v>
      </c>
      <c r="F21" s="2">
        <v>34840.970419707097</v>
      </c>
      <c r="G21" s="2">
        <v>21578.058229713599</v>
      </c>
      <c r="H21" s="2">
        <v>508603.77879375202</v>
      </c>
      <c r="I21" s="2">
        <v>479902.59602793399</v>
      </c>
      <c r="J21" s="2">
        <v>27037.570751779713</v>
      </c>
      <c r="K21" s="2">
        <v>17969.963706099894</v>
      </c>
      <c r="L21" s="2">
        <v>4745.4203210609849</v>
      </c>
      <c r="M21" s="2">
        <v>9777.5912937519606</v>
      </c>
      <c r="N21" s="2">
        <v>-11443.427462832806</v>
      </c>
      <c r="O21" s="2">
        <v>2173.2033062822993</v>
      </c>
      <c r="P21" s="2">
        <v>-3749.6214824189665</v>
      </c>
      <c r="Q21" s="2">
        <v>-16274.420141777024</v>
      </c>
    </row>
    <row r="22" spans="1:17" x14ac:dyDescent="0.3">
      <c r="A22" s="1">
        <v>42156</v>
      </c>
      <c r="B22" s="2">
        <v>2230691.3800690002</v>
      </c>
      <c r="C22" s="2">
        <v>1424699.9733718301</v>
      </c>
      <c r="D22" s="2">
        <v>187850.25726382001</v>
      </c>
      <c r="E22" s="2">
        <v>722153.31063140696</v>
      </c>
      <c r="F22" s="2">
        <v>30696.0909827512</v>
      </c>
      <c r="G22" s="2">
        <v>21561.675700244101</v>
      </c>
      <c r="H22" s="2">
        <v>509570.96141236502</v>
      </c>
      <c r="I22" s="2">
        <v>468871.673733028</v>
      </c>
      <c r="J22" s="2">
        <v>25595.261745440308</v>
      </c>
      <c r="K22" s="2">
        <v>14481.452053470071</v>
      </c>
      <c r="L22" s="2">
        <v>-767.57189146897872</v>
      </c>
      <c r="M22" s="2">
        <v>9124.505529445014</v>
      </c>
      <c r="N22" s="2">
        <v>-4144.8794369558964</v>
      </c>
      <c r="O22" s="2">
        <v>-16.382529469497968</v>
      </c>
      <c r="P22" s="2">
        <v>967.18261861300562</v>
      </c>
      <c r="Q22" s="2">
        <v>-11030.922294905991</v>
      </c>
    </row>
    <row r="23" spans="1:17" x14ac:dyDescent="0.3">
      <c r="A23" s="1">
        <v>42248</v>
      </c>
      <c r="B23" s="2">
        <v>2258468.8989496399</v>
      </c>
      <c r="C23" s="2">
        <v>1448454.54232456</v>
      </c>
      <c r="D23" s="2">
        <v>197031.10957894399</v>
      </c>
      <c r="E23" s="2">
        <v>731649.84135963803</v>
      </c>
      <c r="F23" s="2">
        <v>34419.068257193103</v>
      </c>
      <c r="G23" s="3">
        <v>-13681.51550882242</v>
      </c>
      <c r="H23" s="2">
        <v>506222.85712796298</v>
      </c>
      <c r="I23" s="2">
        <v>465433.93361778802</v>
      </c>
      <c r="J23" s="2">
        <v>27777.518880639691</v>
      </c>
      <c r="K23" s="2">
        <v>23754.568952729926</v>
      </c>
      <c r="L23" s="2">
        <v>9180.8523151239788</v>
      </c>
      <c r="M23" s="2">
        <v>9496.5307282310678</v>
      </c>
      <c r="N23" s="2">
        <v>3722.9772744419024</v>
      </c>
      <c r="O23" s="2">
        <v>-35243.191209066521</v>
      </c>
      <c r="P23" s="2">
        <v>-3348.1042844020412</v>
      </c>
      <c r="Q23" s="2">
        <v>-3437.7401152399834</v>
      </c>
    </row>
    <row r="24" spans="1:17" x14ac:dyDescent="0.3">
      <c r="A24" s="1">
        <v>42339</v>
      </c>
      <c r="B24" s="2">
        <v>2287656.9413712602</v>
      </c>
      <c r="C24" s="2">
        <v>1467195.2306619899</v>
      </c>
      <c r="D24" s="2">
        <v>201866.24322463101</v>
      </c>
      <c r="E24" s="2">
        <v>741080.07456791098</v>
      </c>
      <c r="F24" s="2">
        <v>19830.806822955299</v>
      </c>
      <c r="G24" s="2">
        <v>27916.646100086</v>
      </c>
      <c r="H24" s="2">
        <v>482593.32308373798</v>
      </c>
      <c r="I24" s="2">
        <v>452499.275300754</v>
      </c>
      <c r="J24" s="2">
        <v>29188.042421620339</v>
      </c>
      <c r="K24" s="2">
        <v>18740.688337429892</v>
      </c>
      <c r="L24" s="2">
        <v>4835.1336456870195</v>
      </c>
      <c r="M24" s="2">
        <v>9430.2332082729554</v>
      </c>
      <c r="N24" s="2">
        <v>-14588.261434237804</v>
      </c>
      <c r="O24" s="2">
        <v>41598.16160890842</v>
      </c>
      <c r="P24" s="2">
        <v>-23629.534044225002</v>
      </c>
      <c r="Q24" s="2">
        <v>-12934.658317034016</v>
      </c>
    </row>
    <row r="25" spans="1:17" x14ac:dyDescent="0.3">
      <c r="A25" s="1">
        <v>42430</v>
      </c>
      <c r="B25" s="2">
        <v>2314440.0765162902</v>
      </c>
      <c r="C25" s="2">
        <v>1477593.3899989601</v>
      </c>
      <c r="D25" s="2">
        <v>193249.20155950901</v>
      </c>
      <c r="E25" s="2">
        <v>748221.06171374698</v>
      </c>
      <c r="F25" s="2">
        <v>29046.506538680998</v>
      </c>
      <c r="G25" s="2">
        <v>27237.9653864303</v>
      </c>
      <c r="H25" s="2">
        <v>491652.97056900599</v>
      </c>
      <c r="I25" s="2">
        <v>450889.71713952499</v>
      </c>
      <c r="J25" s="2">
        <v>26783.135145029984</v>
      </c>
      <c r="K25" s="2">
        <v>10398.159336970188</v>
      </c>
      <c r="L25" s="2">
        <v>-8617.0416651220003</v>
      </c>
      <c r="M25" s="2">
        <v>7140.9871458359994</v>
      </c>
      <c r="N25" s="2">
        <v>9215.6997157256992</v>
      </c>
      <c r="O25" s="2">
        <v>-678.68071365569995</v>
      </c>
      <c r="P25" s="2">
        <v>9059.6474852680112</v>
      </c>
      <c r="Q25" s="2">
        <v>-1609.5581612290116</v>
      </c>
    </row>
    <row r="26" spans="1:17" x14ac:dyDescent="0.3">
      <c r="A26" s="1">
        <v>42522</v>
      </c>
      <c r="B26" s="2">
        <v>2344586.1402926198</v>
      </c>
      <c r="C26" s="2">
        <v>1496867.0707481899</v>
      </c>
      <c r="D26" s="2">
        <v>198824.53900439999</v>
      </c>
      <c r="E26" s="2">
        <v>755260.29611291899</v>
      </c>
      <c r="F26" s="2">
        <v>30406.669253947799</v>
      </c>
      <c r="G26" s="2">
        <v>24754.060173518199</v>
      </c>
      <c r="H26" s="2">
        <v>503543.12798585201</v>
      </c>
      <c r="I26" s="2">
        <v>458402.81009326701</v>
      </c>
      <c r="J26" s="2">
        <v>30146.063776329625</v>
      </c>
      <c r="K26" s="2">
        <v>19273.680749229854</v>
      </c>
      <c r="L26" s="2">
        <v>5575.337444890989</v>
      </c>
      <c r="M26" s="2">
        <v>7039.2343991720118</v>
      </c>
      <c r="N26" s="2">
        <v>1360.1627152668007</v>
      </c>
      <c r="O26" s="2">
        <v>-2483.905212912101</v>
      </c>
      <c r="P26" s="2">
        <v>11890.157416846021</v>
      </c>
      <c r="Q26" s="2">
        <v>7513.0929537420161</v>
      </c>
    </row>
    <row r="27" spans="1:17" x14ac:dyDescent="0.3">
      <c r="A27" s="1">
        <v>42614</v>
      </c>
      <c r="B27" s="2">
        <v>2372812.0549361501</v>
      </c>
      <c r="C27" s="2">
        <v>1507885.52498038</v>
      </c>
      <c r="D27" s="2">
        <v>191319.89300833401</v>
      </c>
      <c r="E27" s="2">
        <v>763335.02169352595</v>
      </c>
      <c r="F27" s="2">
        <v>35790.091556395899</v>
      </c>
      <c r="G27" s="2">
        <v>23555.281153523501</v>
      </c>
      <c r="H27" s="2">
        <v>473496.29796947399</v>
      </c>
      <c r="I27" s="2">
        <v>444476.85135998903</v>
      </c>
      <c r="J27" s="2">
        <v>28225.914643530268</v>
      </c>
      <c r="K27" s="2">
        <v>11018.454232190037</v>
      </c>
      <c r="L27" s="2">
        <v>-7504.6459960659849</v>
      </c>
      <c r="M27" s="2">
        <v>8074.7255806069588</v>
      </c>
      <c r="N27" s="2">
        <v>5383.4223024480998</v>
      </c>
      <c r="O27" s="2">
        <v>-1198.7790199946976</v>
      </c>
      <c r="P27" s="2">
        <v>-30046.830016378022</v>
      </c>
      <c r="Q27" s="2">
        <v>-13925.958733277977</v>
      </c>
    </row>
    <row r="28" spans="1:17" x14ac:dyDescent="0.3">
      <c r="A28" s="1">
        <v>42705</v>
      </c>
      <c r="B28" s="2">
        <v>2401345.1714551901</v>
      </c>
      <c r="C28" s="2">
        <v>1522631.52131158</v>
      </c>
      <c r="D28" s="2">
        <v>190885.16916024801</v>
      </c>
      <c r="E28" s="2">
        <v>773376.739490874</v>
      </c>
      <c r="F28" s="2">
        <v>35382.1623935713</v>
      </c>
      <c r="G28" s="2">
        <v>22761.328020724199</v>
      </c>
      <c r="H28" s="2">
        <v>503345.00636767398</v>
      </c>
      <c r="I28" s="2">
        <v>462053.54033291299</v>
      </c>
      <c r="J28" s="2">
        <v>28533.116519039962</v>
      </c>
      <c r="K28" s="2">
        <v>14745.996331200004</v>
      </c>
      <c r="L28" s="2">
        <v>-434.723848085996</v>
      </c>
      <c r="M28" s="2">
        <v>10041.717797348043</v>
      </c>
      <c r="N28" s="2">
        <v>-407.92916282459919</v>
      </c>
      <c r="O28" s="2">
        <v>-793.95313279930269</v>
      </c>
      <c r="P28" s="2">
        <v>29848.708398199989</v>
      </c>
      <c r="Q28" s="2">
        <v>17576.688972923963</v>
      </c>
    </row>
    <row r="29" spans="1:17" x14ac:dyDescent="0.3">
      <c r="A29" s="1">
        <v>42795</v>
      </c>
      <c r="B29" s="2">
        <v>2432304.2254284299</v>
      </c>
      <c r="C29" s="2">
        <v>1544148.4264730001</v>
      </c>
      <c r="D29" s="2">
        <v>196996.868293215</v>
      </c>
      <c r="E29" s="2">
        <v>784964.02827720298</v>
      </c>
      <c r="F29" s="2">
        <v>33428.046831847198</v>
      </c>
      <c r="G29" s="2">
        <v>20593.1944818661</v>
      </c>
      <c r="H29" s="2">
        <v>532236.609508603</v>
      </c>
      <c r="I29" s="2">
        <v>470531.98090010299</v>
      </c>
      <c r="J29" s="2">
        <v>30959.053973239847</v>
      </c>
      <c r="K29" s="2">
        <v>21516.905161420116</v>
      </c>
      <c r="L29" s="2">
        <v>6111.6991329669836</v>
      </c>
      <c r="M29" s="2">
        <v>11587.28878632898</v>
      </c>
      <c r="N29" s="2">
        <v>-1954.115561724102</v>
      </c>
      <c r="O29" s="2">
        <v>-2168.1335388580992</v>
      </c>
      <c r="P29" s="2">
        <v>28891.603140929015</v>
      </c>
      <c r="Q29" s="2">
        <v>8478.4405671900022</v>
      </c>
    </row>
    <row r="30" spans="1:17" x14ac:dyDescent="0.3">
      <c r="A30" s="1">
        <v>42887</v>
      </c>
      <c r="B30" s="2">
        <v>2461440.75344942</v>
      </c>
      <c r="C30" s="2">
        <v>1558081.85956115</v>
      </c>
      <c r="D30" s="2">
        <v>195212.35413851001</v>
      </c>
      <c r="E30" s="2">
        <v>799767.77169311198</v>
      </c>
      <c r="F30" s="2">
        <v>30664.994409376701</v>
      </c>
      <c r="G30" s="2">
        <v>22705.453205857099</v>
      </c>
      <c r="H30" s="2">
        <v>520056.31657719298</v>
      </c>
      <c r="I30" s="2">
        <v>472599.03370632499</v>
      </c>
      <c r="J30" s="2">
        <v>29136.528020990081</v>
      </c>
      <c r="K30" s="2">
        <v>13933.433088149875</v>
      </c>
      <c r="L30" s="2">
        <v>-1784.5141547049861</v>
      </c>
      <c r="M30" s="2">
        <v>14803.743415909004</v>
      </c>
      <c r="N30" s="2">
        <v>-2763.0524224704968</v>
      </c>
      <c r="O30" s="2">
        <v>2112.258723990999</v>
      </c>
      <c r="P30" s="2">
        <v>-12180.292931410018</v>
      </c>
      <c r="Q30" s="2">
        <v>2067.0528062219964</v>
      </c>
    </row>
    <row r="31" spans="1:17" x14ac:dyDescent="0.3">
      <c r="A31" s="1">
        <v>42979</v>
      </c>
      <c r="B31" s="2">
        <v>2492942.0169570502</v>
      </c>
      <c r="C31" s="2">
        <v>1579131.64034997</v>
      </c>
      <c r="D31" s="2">
        <v>197767.69796801399</v>
      </c>
      <c r="E31" s="2">
        <v>814103.21558560897</v>
      </c>
      <c r="F31" s="2">
        <v>34132.823244433202</v>
      </c>
      <c r="G31" s="2">
        <v>23500.625854157999</v>
      </c>
      <c r="H31" s="2">
        <v>545660.15006800601</v>
      </c>
      <c r="I31" s="2">
        <v>501561.72517590201</v>
      </c>
      <c r="J31" s="2">
        <v>31501.26350763021</v>
      </c>
      <c r="K31" s="2">
        <v>21049.780788820004</v>
      </c>
      <c r="L31" s="2">
        <v>2555.3438295039814</v>
      </c>
      <c r="M31" s="2">
        <v>14335.443892496987</v>
      </c>
      <c r="N31" s="2">
        <v>3467.8288350565017</v>
      </c>
      <c r="O31" s="2">
        <v>795.17264830090062</v>
      </c>
      <c r="P31" s="2">
        <v>25603.833490813035</v>
      </c>
      <c r="Q31" s="2">
        <v>28962.691469577025</v>
      </c>
    </row>
    <row r="32" spans="1:17" x14ac:dyDescent="0.3">
      <c r="A32" s="1">
        <v>43070</v>
      </c>
      <c r="B32" s="2">
        <v>2524771.7162691802</v>
      </c>
      <c r="C32" s="2">
        <v>1598200.3070620899</v>
      </c>
      <c r="D32" s="2">
        <v>200749.354006354</v>
      </c>
      <c r="E32" s="2">
        <v>828715.26207592501</v>
      </c>
      <c r="F32" s="2">
        <v>31841.711246084898</v>
      </c>
      <c r="G32" s="2">
        <v>28543.660689613302</v>
      </c>
      <c r="H32" s="2">
        <v>547229.68658854603</v>
      </c>
      <c r="I32" s="2">
        <v>514388.12016027601</v>
      </c>
      <c r="J32" s="2">
        <v>31829.699312129989</v>
      </c>
      <c r="K32" s="2">
        <v>19068.666712119943</v>
      </c>
      <c r="L32" s="2">
        <v>2981.6560383400065</v>
      </c>
      <c r="M32" s="2">
        <v>14612.046490316046</v>
      </c>
      <c r="N32" s="2">
        <v>-2291.111998348304</v>
      </c>
      <c r="O32" s="2">
        <v>5043.0348354553025</v>
      </c>
      <c r="P32" s="2">
        <v>1569.5365205400158</v>
      </c>
      <c r="Q32" s="2">
        <v>12826.394984373997</v>
      </c>
    </row>
    <row r="33" spans="1:17" x14ac:dyDescent="0.3">
      <c r="A33" s="1">
        <v>43160</v>
      </c>
      <c r="B33" s="2">
        <v>2556207.5387877901</v>
      </c>
      <c r="C33" s="2">
        <v>1617754.89824994</v>
      </c>
      <c r="D33" s="2">
        <v>200920.569010871</v>
      </c>
      <c r="E33" s="2">
        <v>843091.60538483399</v>
      </c>
      <c r="F33" s="2">
        <v>42100.037564469902</v>
      </c>
      <c r="G33" s="2">
        <v>29027.2718772507</v>
      </c>
      <c r="H33" s="2">
        <v>564966.06934741198</v>
      </c>
      <c r="I33" s="2">
        <v>539246.86845740804</v>
      </c>
      <c r="J33" s="2">
        <v>31435.82251860993</v>
      </c>
      <c r="K33" s="2">
        <v>19554.591187850107</v>
      </c>
      <c r="L33" s="2">
        <v>171.21500451699831</v>
      </c>
      <c r="M33" s="2">
        <v>14376.343308908981</v>
      </c>
      <c r="N33" s="2">
        <v>10258.326318385003</v>
      </c>
      <c r="O33" s="2">
        <v>483.61118763739796</v>
      </c>
      <c r="P33" s="2">
        <v>17736.382758865948</v>
      </c>
      <c r="Q33" s="2">
        <v>24858.748297132028</v>
      </c>
    </row>
    <row r="34" spans="1:17" x14ac:dyDescent="0.3">
      <c r="A34" s="1">
        <v>43252</v>
      </c>
      <c r="B34" s="2">
        <v>2589526.7633035099</v>
      </c>
      <c r="C34" s="2">
        <v>1637048.2212137401</v>
      </c>
      <c r="D34" s="2">
        <v>204820.10299263499</v>
      </c>
      <c r="E34" s="2">
        <v>854550.50248277199</v>
      </c>
      <c r="F34" s="2">
        <v>48894.095030185497</v>
      </c>
      <c r="G34" s="2">
        <v>30057.452038530399</v>
      </c>
      <c r="H34" s="2">
        <v>561372.72031113796</v>
      </c>
      <c r="I34" s="2">
        <v>547237.36768543604</v>
      </c>
      <c r="J34" s="2">
        <v>33319.224515719805</v>
      </c>
      <c r="K34" s="2">
        <v>19293.322963800048</v>
      </c>
      <c r="L34" s="2">
        <v>3899.5339817639906</v>
      </c>
      <c r="M34" s="2">
        <v>11458.897097937996</v>
      </c>
      <c r="N34" s="2">
        <v>6794.0574657155958</v>
      </c>
      <c r="O34" s="2">
        <v>1030.180161279699</v>
      </c>
      <c r="P34" s="2">
        <v>-3593.3490362740122</v>
      </c>
      <c r="Q34" s="2">
        <v>7990.4992280279985</v>
      </c>
    </row>
    <row r="35" spans="1:17" x14ac:dyDescent="0.3">
      <c r="A35" s="1">
        <v>43344</v>
      </c>
      <c r="B35" s="2">
        <v>2622676.7039651098</v>
      </c>
      <c r="C35" s="2">
        <v>1662703.2955038501</v>
      </c>
      <c r="D35" s="2">
        <v>209873.113559994</v>
      </c>
      <c r="E35" s="2">
        <v>866676.84651954402</v>
      </c>
      <c r="F35" s="2">
        <v>43762.9646718191</v>
      </c>
      <c r="G35" s="2">
        <v>34275.413191132502</v>
      </c>
      <c r="H35" s="2">
        <v>584824.95246943098</v>
      </c>
      <c r="I35" s="2">
        <v>553638.39749778796</v>
      </c>
      <c r="J35" s="2">
        <v>33149.94066159986</v>
      </c>
      <c r="K35" s="2">
        <v>25655.074290110031</v>
      </c>
      <c r="L35" s="2">
        <v>5053.0105673590151</v>
      </c>
      <c r="M35" s="2">
        <v>12126.344036772032</v>
      </c>
      <c r="N35" s="2">
        <v>-5131.1303583663976</v>
      </c>
      <c r="O35" s="2">
        <v>4217.9611526021035</v>
      </c>
      <c r="P35" s="2">
        <v>23452.232158293016</v>
      </c>
      <c r="Q35" s="2">
        <v>6401.0298123519169</v>
      </c>
    </row>
    <row r="36" spans="1:17" x14ac:dyDescent="0.3">
      <c r="A36" s="1">
        <v>43435</v>
      </c>
      <c r="B36" s="2">
        <v>2656032.1223314102</v>
      </c>
      <c r="C36" s="2">
        <v>1682755.6559753399</v>
      </c>
      <c r="D36" s="2">
        <v>213234.46007754901</v>
      </c>
      <c r="E36" s="2">
        <v>877264.70989823097</v>
      </c>
      <c r="F36" s="2">
        <v>52310.010451719398</v>
      </c>
      <c r="G36" s="2">
        <v>10840.792537711201</v>
      </c>
      <c r="H36" s="2">
        <v>573207.264264417</v>
      </c>
      <c r="I36" s="2">
        <v>546835.36098974396</v>
      </c>
      <c r="J36" s="2">
        <v>33355.418366300408</v>
      </c>
      <c r="K36" s="2">
        <v>20052.360471489839</v>
      </c>
      <c r="L36" s="2">
        <v>3361.3465175550082</v>
      </c>
      <c r="M36" s="2">
        <v>10587.863378686947</v>
      </c>
      <c r="N36" s="2">
        <v>8547.0457799002979</v>
      </c>
      <c r="O36" s="2">
        <v>-23434.620653421302</v>
      </c>
      <c r="P36" s="2">
        <v>-11617.688205013983</v>
      </c>
      <c r="Q36" s="2">
        <v>-6803.0365080439951</v>
      </c>
    </row>
    <row r="37" spans="1:17" x14ac:dyDescent="0.3">
      <c r="A37" s="1">
        <v>43525</v>
      </c>
      <c r="B37" s="2">
        <v>2689591.8669010499</v>
      </c>
      <c r="C37" s="2">
        <v>1702099.8640377901</v>
      </c>
      <c r="D37" s="2">
        <v>208634.15328841101</v>
      </c>
      <c r="E37" s="2">
        <v>887625.31693741598</v>
      </c>
      <c r="F37" s="2">
        <v>39704.208685497499</v>
      </c>
      <c r="G37" s="2">
        <v>14819.769963263099</v>
      </c>
      <c r="H37" s="2">
        <v>561777.63260437001</v>
      </c>
      <c r="I37" s="2">
        <v>523558.35980719799</v>
      </c>
      <c r="J37" s="2">
        <v>33559.744569639675</v>
      </c>
      <c r="K37" s="2">
        <v>19344.208062450169</v>
      </c>
      <c r="L37" s="2">
        <v>-4600.3067891380051</v>
      </c>
      <c r="M37" s="2">
        <v>10360.607039185008</v>
      </c>
      <c r="N37" s="2">
        <v>-12605.801766221899</v>
      </c>
      <c r="O37" s="2">
        <v>3978.9774255518987</v>
      </c>
      <c r="P37" s="2">
        <v>-11429.631660046987</v>
      </c>
      <c r="Q37" s="2">
        <v>-23277.001182545966</v>
      </c>
    </row>
    <row r="38" spans="1:17" x14ac:dyDescent="0.3">
      <c r="A38" s="1">
        <v>43617</v>
      </c>
      <c r="B38" s="2">
        <v>2722277.1783867199</v>
      </c>
      <c r="C38" s="2">
        <v>1724511.11712911</v>
      </c>
      <c r="D38" s="2">
        <v>220766.33756371099</v>
      </c>
      <c r="E38" s="2">
        <v>896209.94243684295</v>
      </c>
      <c r="F38" s="2">
        <v>32103.365009597401</v>
      </c>
      <c r="G38" s="2">
        <v>18042.721322045199</v>
      </c>
      <c r="H38" s="2">
        <v>555364.93166109803</v>
      </c>
      <c r="I38" s="2">
        <v>515034.35801768297</v>
      </c>
      <c r="J38" s="2">
        <v>32685.311485670041</v>
      </c>
      <c r="K38" s="2">
        <v>22411.25309131993</v>
      </c>
      <c r="L38" s="2">
        <v>12132.18427529998</v>
      </c>
      <c r="M38" s="2">
        <v>8584.6254994269693</v>
      </c>
      <c r="N38" s="2">
        <v>-7600.8436759000979</v>
      </c>
      <c r="O38" s="2">
        <v>3222.9513587821002</v>
      </c>
      <c r="P38" s="2">
        <v>-6412.7009432719788</v>
      </c>
      <c r="Q38" s="2">
        <v>-8524.0017895150231</v>
      </c>
    </row>
    <row r="39" spans="1:17" x14ac:dyDescent="0.3">
      <c r="A39" s="1">
        <v>43709</v>
      </c>
      <c r="B39" s="2">
        <v>2750689.2694344702</v>
      </c>
      <c r="C39" s="2">
        <v>1742888.8358698101</v>
      </c>
      <c r="D39" s="2">
        <v>211915.32417187301</v>
      </c>
      <c r="E39" s="2">
        <v>903560.92299100396</v>
      </c>
      <c r="F39" s="2">
        <v>36963.171724264401</v>
      </c>
      <c r="G39" s="2">
        <v>15120.781228251901</v>
      </c>
      <c r="H39" s="2">
        <v>586766.76560630696</v>
      </c>
      <c r="I39" s="2">
        <v>514272.11577920499</v>
      </c>
      <c r="J39" s="2">
        <v>28412.09104775032</v>
      </c>
      <c r="K39" s="2">
        <v>18377.718740700046</v>
      </c>
      <c r="L39" s="2">
        <v>-8851.0133918379724</v>
      </c>
      <c r="M39" s="2">
        <v>7350.9805541610112</v>
      </c>
      <c r="N39" s="2">
        <v>4859.8067146670001</v>
      </c>
      <c r="O39" s="2">
        <v>-2921.9400937932987</v>
      </c>
      <c r="P39" s="2">
        <v>31401.833945208928</v>
      </c>
      <c r="Q39" s="2">
        <v>-762.24223847797839</v>
      </c>
    </row>
    <row r="40" spans="1:17" x14ac:dyDescent="0.3">
      <c r="A40" s="1">
        <v>43800</v>
      </c>
      <c r="B40" s="2">
        <v>2774925.71451292</v>
      </c>
      <c r="C40" s="2">
        <v>1756949.48191627</v>
      </c>
      <c r="D40" s="2">
        <v>214622.39747139899</v>
      </c>
      <c r="E40" s="2">
        <v>906854.24742561299</v>
      </c>
      <c r="F40" s="2">
        <v>29241.2098073981</v>
      </c>
      <c r="G40" s="2">
        <v>13186.159832138699</v>
      </c>
      <c r="H40" s="2">
        <v>570314.07365164196</v>
      </c>
      <c r="I40" s="2">
        <v>498556.882720105</v>
      </c>
      <c r="J40" s="2">
        <v>24236.445078449789</v>
      </c>
      <c r="K40" s="2">
        <v>14060.646046459908</v>
      </c>
      <c r="L40" s="2">
        <v>2707.073299525975</v>
      </c>
      <c r="M40" s="2">
        <v>3293.324434609036</v>
      </c>
      <c r="N40" s="2">
        <v>-7721.9619168663012</v>
      </c>
      <c r="O40" s="2">
        <v>-1934.6213961132016</v>
      </c>
      <c r="P40" s="2">
        <v>-16452.691954665002</v>
      </c>
      <c r="Q40" s="2">
        <v>-15715.233059099992</v>
      </c>
    </row>
    <row r="41" spans="1:17" x14ac:dyDescent="0.3">
      <c r="A41" s="1">
        <v>43891</v>
      </c>
      <c r="B41" s="2">
        <v>2769915.92654564</v>
      </c>
      <c r="C41" s="2">
        <v>1747167.3023115401</v>
      </c>
      <c r="D41" s="2">
        <v>214603.428375633</v>
      </c>
      <c r="E41" s="2">
        <v>901573.78571410896</v>
      </c>
      <c r="F41" s="2">
        <v>20949.713551177701</v>
      </c>
      <c r="G41" s="2">
        <v>12689.566575274999</v>
      </c>
      <c r="H41" s="2">
        <v>565557.25446271896</v>
      </c>
      <c r="I41" s="2">
        <v>485176.05964235001</v>
      </c>
      <c r="J41" s="2">
        <v>-5009.7879672800191</v>
      </c>
      <c r="K41" s="2">
        <v>-9782.1796047298703</v>
      </c>
      <c r="L41" s="2">
        <v>-18.969095765991369</v>
      </c>
      <c r="M41" s="2">
        <v>-5280.461711504031</v>
      </c>
      <c r="N41" s="2">
        <v>-8291.4962562203982</v>
      </c>
      <c r="O41" s="2">
        <v>-496.59325686369993</v>
      </c>
      <c r="P41" s="2">
        <v>-4756.8191889229929</v>
      </c>
      <c r="Q41" s="2">
        <v>-13380.823077754991</v>
      </c>
    </row>
    <row r="42" spans="1:17" x14ac:dyDescent="0.3">
      <c r="A42" s="1">
        <v>43983</v>
      </c>
      <c r="B42" s="2">
        <v>2590879.83203026</v>
      </c>
      <c r="C42" s="2">
        <v>1622954.8775430201</v>
      </c>
      <c r="D42" s="2">
        <v>207154.620065806</v>
      </c>
      <c r="E42" s="2">
        <v>821740.16451613605</v>
      </c>
      <c r="F42" s="2">
        <v>23884.933112243001</v>
      </c>
      <c r="G42" s="2">
        <v>9647.6419362083798</v>
      </c>
      <c r="H42" s="2">
        <v>479008.32044505101</v>
      </c>
      <c r="I42" s="2">
        <v>394897.72472976398</v>
      </c>
      <c r="J42" s="2">
        <v>-179036.09451537998</v>
      </c>
      <c r="K42" s="2">
        <v>-124212.42476852005</v>
      </c>
      <c r="L42" s="2">
        <v>-7448.8083098269999</v>
      </c>
      <c r="M42" s="2">
        <v>-79833.621197972912</v>
      </c>
      <c r="N42" s="2">
        <v>2935.2195610652998</v>
      </c>
      <c r="O42" s="2">
        <v>-3041.9246390666194</v>
      </c>
      <c r="P42" s="2">
        <v>-86548.934017667954</v>
      </c>
      <c r="Q42" s="2">
        <v>-90278.334912586026</v>
      </c>
    </row>
    <row r="43" spans="1:17" x14ac:dyDescent="0.3">
      <c r="A43" s="1">
        <v>44075</v>
      </c>
      <c r="B43" s="2">
        <v>2663640.7238819301</v>
      </c>
      <c r="C43" s="2">
        <v>1708160.4082321899</v>
      </c>
      <c r="D43" s="2">
        <v>232287.22169767501</v>
      </c>
      <c r="E43" s="2">
        <v>847045.67815583805</v>
      </c>
      <c r="F43" s="2">
        <v>8257.7984350432307</v>
      </c>
      <c r="G43" s="2">
        <v>8603.0545186100098</v>
      </c>
      <c r="H43" s="2">
        <v>511899.85582424997</v>
      </c>
      <c r="I43" s="2">
        <v>399842.09471308399</v>
      </c>
      <c r="J43" s="2">
        <v>72760.891851670109</v>
      </c>
      <c r="K43" s="2">
        <v>85205.530689169886</v>
      </c>
      <c r="L43" s="2">
        <v>25132.601631869009</v>
      </c>
      <c r="M43" s="2">
        <v>25305.513639701996</v>
      </c>
      <c r="N43" s="2">
        <v>-15627.134677199771</v>
      </c>
      <c r="O43" s="2">
        <v>-1044.5874175983699</v>
      </c>
      <c r="P43" s="2">
        <v>32891.535379198962</v>
      </c>
      <c r="Q43" s="2">
        <v>4944.369983320008</v>
      </c>
    </row>
    <row r="44" spans="1:17" x14ac:dyDescent="0.3">
      <c r="A44" s="1">
        <v>44166</v>
      </c>
      <c r="B44" s="2">
        <v>2699957.82448499</v>
      </c>
      <c r="C44" s="2">
        <v>1705374.4474293501</v>
      </c>
      <c r="D44" s="2">
        <v>220079.72479933099</v>
      </c>
      <c r="E44" s="2">
        <v>861933.02832762396</v>
      </c>
      <c r="F44" s="2">
        <v>12105.9877367873</v>
      </c>
      <c r="G44" s="2">
        <v>35196.043267428802</v>
      </c>
      <c r="H44" s="2">
        <v>528203.41574864695</v>
      </c>
      <c r="I44" s="2">
        <v>415781.958655558</v>
      </c>
      <c r="J44" s="2">
        <v>36317.100603059866</v>
      </c>
      <c r="K44" s="2">
        <v>-2785.9608028398361</v>
      </c>
      <c r="L44" s="2">
        <v>-12207.496898344019</v>
      </c>
      <c r="M44" s="2">
        <v>14887.350171785918</v>
      </c>
      <c r="N44" s="2">
        <v>3848.1893017440689</v>
      </c>
      <c r="O44" s="2">
        <v>26592.988748818792</v>
      </c>
      <c r="P44" s="2">
        <v>16303.559924396977</v>
      </c>
      <c r="Q44" s="2">
        <v>15939.86394247401</v>
      </c>
    </row>
    <row r="45" spans="1:17" x14ac:dyDescent="0.3">
      <c r="A45" s="1">
        <v>44256</v>
      </c>
      <c r="B45" s="2">
        <v>2740756.6421510698</v>
      </c>
      <c r="C45" s="2">
        <v>1714477.8389423699</v>
      </c>
      <c r="D45" s="2">
        <v>218761.74203783699</v>
      </c>
      <c r="E45" s="2">
        <v>878361.45160078595</v>
      </c>
      <c r="F45" s="2">
        <v>17826.448449811302</v>
      </c>
      <c r="G45" s="2">
        <v>35355.401345354199</v>
      </c>
      <c r="H45" s="2">
        <v>578990.25268099096</v>
      </c>
      <c r="I45" s="2">
        <v>502379.02351533301</v>
      </c>
      <c r="J45" s="2">
        <v>40798.817666079849</v>
      </c>
      <c r="K45" s="2">
        <v>9103.3915130198002</v>
      </c>
      <c r="L45" s="2">
        <v>-1317.9827614940004</v>
      </c>
      <c r="M45" s="2">
        <v>16428.423273161985</v>
      </c>
      <c r="N45" s="2">
        <v>5720.460713024002</v>
      </c>
      <c r="O45" s="2">
        <v>159.35807792539708</v>
      </c>
      <c r="P45" s="2">
        <v>50786.836932344013</v>
      </c>
      <c r="Q45" s="2">
        <v>86597.064859775011</v>
      </c>
    </row>
    <row r="46" spans="1:17" x14ac:dyDescent="0.3">
      <c r="A46" s="1">
        <v>44348</v>
      </c>
      <c r="B46" s="2">
        <v>2774367.5133239101</v>
      </c>
      <c r="C46" s="2">
        <v>1721654.9420880701</v>
      </c>
      <c r="D46" s="2">
        <v>223399.64439286399</v>
      </c>
      <c r="E46" s="2">
        <v>885454.39232793998</v>
      </c>
      <c r="F46" s="2">
        <v>14827.2381109499</v>
      </c>
      <c r="G46" s="2">
        <v>40311.3194440851</v>
      </c>
      <c r="H46" s="2">
        <v>614280.91945478704</v>
      </c>
      <c r="I46" s="2">
        <v>522182.56202188297</v>
      </c>
      <c r="J46" s="2">
        <v>33610.871172840241</v>
      </c>
      <c r="K46" s="2">
        <v>7177.1031457001809</v>
      </c>
      <c r="L46" s="2">
        <v>4637.9023550270067</v>
      </c>
      <c r="M46" s="2">
        <v>7092.9407271540258</v>
      </c>
      <c r="N46" s="2">
        <v>-2999.2103388614014</v>
      </c>
      <c r="O46" s="2">
        <v>4955.918098730901</v>
      </c>
      <c r="P46" s="2">
        <v>35290.666773796082</v>
      </c>
      <c r="Q46" s="2">
        <v>19803.538506549958</v>
      </c>
    </row>
    <row r="47" spans="1:17" x14ac:dyDescent="0.3">
      <c r="A47" s="1">
        <v>44440</v>
      </c>
      <c r="B47" s="2">
        <v>2776937.1531625302</v>
      </c>
      <c r="C47" s="2">
        <v>1734650.18334022</v>
      </c>
      <c r="D47" s="2">
        <v>233892.15644712199</v>
      </c>
      <c r="E47" s="2">
        <v>888802.24821633904</v>
      </c>
      <c r="F47" s="2">
        <v>16230.293318849001</v>
      </c>
      <c r="G47" s="2">
        <v>44597.8984460758</v>
      </c>
      <c r="H47" s="2">
        <v>618630.83818720502</v>
      </c>
      <c r="I47" s="2">
        <v>522788.97522461298</v>
      </c>
      <c r="J47" s="2">
        <v>2569.639838620089</v>
      </c>
      <c r="K47" s="2">
        <v>12995.241252149921</v>
      </c>
      <c r="L47" s="2">
        <v>10492.512054257997</v>
      </c>
      <c r="M47" s="2">
        <v>3347.8558883990627</v>
      </c>
      <c r="N47" s="2">
        <v>1403.0552078991004</v>
      </c>
      <c r="O47" s="2">
        <v>4286.5790019906999</v>
      </c>
      <c r="P47" s="2">
        <v>4349.9187324179802</v>
      </c>
      <c r="Q47" s="2">
        <v>606.41320273000747</v>
      </c>
    </row>
    <row r="48" spans="1:17" x14ac:dyDescent="0.3">
      <c r="A48" s="1">
        <v>44531</v>
      </c>
      <c r="B48" s="2">
        <v>2839237.0328968801</v>
      </c>
      <c r="C48" s="2">
        <v>1765694.0527214699</v>
      </c>
      <c r="D48" s="2">
        <v>235254.52422463</v>
      </c>
      <c r="E48" s="2">
        <v>900767.21447119699</v>
      </c>
      <c r="F48" s="2">
        <v>13757.5972691427</v>
      </c>
      <c r="G48" s="2">
        <v>91015.990189795106</v>
      </c>
      <c r="H48" s="2">
        <v>643931.81922099099</v>
      </c>
      <c r="I48" s="2">
        <v>562152.603406262</v>
      </c>
      <c r="J48" s="2">
        <v>62299.879734349903</v>
      </c>
      <c r="K48" s="2">
        <v>31043.869381249882</v>
      </c>
      <c r="L48" s="2">
        <v>1362.3677775080141</v>
      </c>
      <c r="M48" s="2">
        <v>11964.966254857951</v>
      </c>
      <c r="N48" s="2">
        <v>-2472.696049706301</v>
      </c>
      <c r="O48" s="2">
        <v>46418.091743719306</v>
      </c>
      <c r="P48" s="2">
        <v>25300.981033785967</v>
      </c>
      <c r="Q48" s="2">
        <v>39363.628181649023</v>
      </c>
    </row>
    <row r="49" spans="1:17" x14ac:dyDescent="0.3">
      <c r="A49" s="1">
        <v>44621</v>
      </c>
      <c r="B49" s="2">
        <v>2873452.5092603699</v>
      </c>
      <c r="C49" s="2">
        <v>1771000.5565226399</v>
      </c>
      <c r="D49" s="2">
        <v>207993.27420900401</v>
      </c>
      <c r="E49" s="2">
        <v>911140.80397060199</v>
      </c>
      <c r="F49" s="2">
        <v>16775.399603363901</v>
      </c>
      <c r="G49" s="2">
        <v>76974.783027487894</v>
      </c>
      <c r="H49" s="2">
        <v>663863.98315932299</v>
      </c>
      <c r="I49" s="2">
        <v>581232.88795676001</v>
      </c>
      <c r="J49" s="2">
        <v>34215.47636348987</v>
      </c>
      <c r="K49" s="2">
        <v>5306.5038011700381</v>
      </c>
      <c r="L49" s="2">
        <v>-27261.250015625992</v>
      </c>
      <c r="M49" s="2">
        <v>10373.589499405003</v>
      </c>
      <c r="N49" s="2">
        <v>3017.8023342212018</v>
      </c>
      <c r="O49" s="2">
        <v>-14041.207162307212</v>
      </c>
      <c r="P49" s="2">
        <v>19932.163938332</v>
      </c>
      <c r="Q49" s="2">
        <v>19080.284550498007</v>
      </c>
    </row>
    <row r="50" spans="1:17" x14ac:dyDescent="0.3">
      <c r="A50" s="1">
        <v>44713</v>
      </c>
      <c r="B50" s="2">
        <v>2910076.73590622</v>
      </c>
      <c r="C50" s="2">
        <v>1788279.5423379201</v>
      </c>
      <c r="D50" s="2">
        <v>213649.02204816201</v>
      </c>
      <c r="E50" s="2">
        <v>915619.83697699197</v>
      </c>
      <c r="F50" s="2">
        <v>16380.057868576199</v>
      </c>
      <c r="G50" s="2">
        <v>66781.100022379804</v>
      </c>
      <c r="H50" s="2">
        <v>716550.70651366003</v>
      </c>
      <c r="I50" s="2">
        <v>597093.72042137606</v>
      </c>
      <c r="J50" s="2">
        <v>36624.226645850111</v>
      </c>
      <c r="K50" s="2">
        <v>17278.985815280117</v>
      </c>
      <c r="L50" s="2">
        <v>5655.7478391579934</v>
      </c>
      <c r="M50" s="2">
        <v>4479.0330063899746</v>
      </c>
      <c r="N50" s="2">
        <v>-395.34173478770208</v>
      </c>
      <c r="O50" s="2">
        <v>-10193.683005108091</v>
      </c>
      <c r="P50" s="2">
        <v>52686.723354337038</v>
      </c>
      <c r="Q50" s="2">
        <v>15860.832464616047</v>
      </c>
    </row>
    <row r="51" spans="1:17" x14ac:dyDescent="0.3">
      <c r="A51" s="1">
        <v>44805</v>
      </c>
      <c r="B51" s="2">
        <v>2943808.0898666498</v>
      </c>
      <c r="C51" s="2">
        <v>1814114.4767837101</v>
      </c>
      <c r="D51" s="2">
        <v>228388.566955477</v>
      </c>
      <c r="E51" s="2">
        <v>923550.44556292798</v>
      </c>
      <c r="F51" s="2">
        <v>18705.284675430801</v>
      </c>
      <c r="G51" s="2">
        <v>95020.315268646504</v>
      </c>
      <c r="H51" s="2">
        <v>736763.76864378795</v>
      </c>
      <c r="I51" s="2">
        <v>629367.959190347</v>
      </c>
      <c r="J51" s="2">
        <v>33731.353960429784</v>
      </c>
      <c r="K51" s="2">
        <v>25834.934445790015</v>
      </c>
      <c r="L51" s="2">
        <v>14739.544907314994</v>
      </c>
      <c r="M51" s="2">
        <v>7930.6085859360173</v>
      </c>
      <c r="N51" s="2">
        <v>2325.2268068546018</v>
      </c>
      <c r="O51" s="2">
        <v>28239.2152462667</v>
      </c>
      <c r="P51" s="2">
        <v>20213.062130127917</v>
      </c>
      <c r="Q51" s="2">
        <v>32274.238768970943</v>
      </c>
    </row>
    <row r="52" spans="1:17" x14ac:dyDescent="0.3">
      <c r="A52" s="1">
        <v>44896</v>
      </c>
      <c r="B52" s="2">
        <v>2982674.1886491999</v>
      </c>
      <c r="C52" s="2">
        <v>1828277.3577937901</v>
      </c>
      <c r="D52" s="2">
        <v>220992.95734559701</v>
      </c>
      <c r="E52" s="2">
        <v>931017.47580173903</v>
      </c>
      <c r="F52" s="2">
        <v>14568.3124187965</v>
      </c>
      <c r="G52" s="2">
        <v>81526.179444837093</v>
      </c>
      <c r="H52" s="2">
        <v>735542.07582152798</v>
      </c>
      <c r="I52" s="2">
        <v>602337.04692312796</v>
      </c>
      <c r="J52" s="2">
        <v>38866.098782550078</v>
      </c>
      <c r="K52" s="2">
        <v>14162.881010079989</v>
      </c>
      <c r="L52" s="2">
        <v>-7395.6096098799899</v>
      </c>
      <c r="M52" s="2">
        <v>7467.0302388110431</v>
      </c>
      <c r="N52" s="2">
        <v>-4136.9722566343007</v>
      </c>
      <c r="O52" s="2">
        <v>-13494.135823809411</v>
      </c>
      <c r="P52" s="2">
        <v>-1221.6928222599672</v>
      </c>
      <c r="Q52" s="2">
        <v>-27030.912267219042</v>
      </c>
    </row>
    <row r="53" spans="1:17" x14ac:dyDescent="0.3">
      <c r="A53" s="1">
        <v>44986</v>
      </c>
      <c r="B53" s="2">
        <v>3018648.92042172</v>
      </c>
      <c r="C53" s="2">
        <v>1845348.1828205099</v>
      </c>
      <c r="D53" s="2">
        <v>213080.584534872</v>
      </c>
      <c r="E53" s="2">
        <v>938479.06502184097</v>
      </c>
      <c r="F53" s="2">
        <v>23777.0103353181</v>
      </c>
      <c r="G53" s="2">
        <v>70254.791957079797</v>
      </c>
      <c r="H53" s="2">
        <v>743584.49634900398</v>
      </c>
      <c r="I53" s="2">
        <v>606174.23247068399</v>
      </c>
      <c r="J53" s="2">
        <v>35974.731772520114</v>
      </c>
      <c r="K53" s="2">
        <v>17070.825026719831</v>
      </c>
      <c r="L53" s="2">
        <v>-7912.3728107250063</v>
      </c>
      <c r="M53" s="2">
        <v>7461.5892201019451</v>
      </c>
      <c r="N53" s="2">
        <v>9208.6979165215998</v>
      </c>
      <c r="O53" s="2">
        <v>-11271.387487757296</v>
      </c>
      <c r="P53" s="2">
        <v>8042.4205274760025</v>
      </c>
      <c r="Q53" s="2">
        <v>3837.1855475560296</v>
      </c>
    </row>
    <row r="54" spans="1:17" x14ac:dyDescent="0.3">
      <c r="A54" s="1">
        <v>45078</v>
      </c>
      <c r="B54" s="2">
        <v>3056942.4280958902</v>
      </c>
      <c r="C54" s="2">
        <v>1882899.85375056</v>
      </c>
      <c r="D54" s="2">
        <v>234912.993078131</v>
      </c>
      <c r="E54" s="2">
        <v>950138.77483703103</v>
      </c>
      <c r="F54" s="2">
        <v>25990.117560645602</v>
      </c>
      <c r="G54" s="2">
        <v>64185.911792988802</v>
      </c>
      <c r="H54" s="2">
        <v>702592.97967526806</v>
      </c>
      <c r="I54" s="2">
        <v>593914.58632928005</v>
      </c>
      <c r="J54" s="2">
        <v>38293.507674170192</v>
      </c>
      <c r="K54" s="2">
        <v>37551.670930050081</v>
      </c>
      <c r="L54" s="2">
        <v>21832.408543258993</v>
      </c>
      <c r="M54" s="2">
        <v>11659.709815190057</v>
      </c>
      <c r="N54" s="2">
        <v>2213.1072253275015</v>
      </c>
      <c r="O54" s="2">
        <v>-6068.8801640909951</v>
      </c>
      <c r="P54" s="2">
        <v>-40991.516673735925</v>
      </c>
      <c r="Q54" s="2">
        <v>-12259.646141403937</v>
      </c>
    </row>
    <row r="55" spans="1:17" x14ac:dyDescent="0.3">
      <c r="A55" s="1">
        <v>45170</v>
      </c>
      <c r="B55" s="2">
        <v>3094703.1714710798</v>
      </c>
      <c r="C55" s="2">
        <v>1894859.6629948299</v>
      </c>
      <c r="D55" s="2">
        <v>219774.74813553001</v>
      </c>
      <c r="E55" s="2">
        <v>960622.29076669703</v>
      </c>
      <c r="F55" s="2">
        <v>28947.006696091499</v>
      </c>
      <c r="G55" s="2">
        <v>110269.557589192</v>
      </c>
      <c r="H55" s="2">
        <v>711844.84546633903</v>
      </c>
      <c r="I55" s="2">
        <v>589140.69097217906</v>
      </c>
      <c r="J55" s="2">
        <v>37760.743375189602</v>
      </c>
      <c r="K55" s="2">
        <v>11959.809244269971</v>
      </c>
      <c r="L55" s="2">
        <v>-15138.244942600984</v>
      </c>
      <c r="M55" s="2">
        <v>10483.515929665999</v>
      </c>
      <c r="N55" s="2">
        <v>2956.8891354458974</v>
      </c>
      <c r="O55" s="2">
        <v>46083.6457962032</v>
      </c>
      <c r="P55" s="2">
        <v>9251.8657910709735</v>
      </c>
      <c r="Q55" s="2">
        <v>-4773.8953571009915</v>
      </c>
    </row>
    <row r="56" spans="1:17" x14ac:dyDescent="0.3">
      <c r="A56" s="1">
        <v>45261</v>
      </c>
      <c r="B56" s="2">
        <v>3132365.1827223799</v>
      </c>
      <c r="C56" s="2">
        <v>1919481.5959324101</v>
      </c>
      <c r="D56" s="2">
        <v>229536.30270492699</v>
      </c>
      <c r="E56" s="2">
        <v>971337.60760163504</v>
      </c>
      <c r="F56" s="2">
        <v>38968.398140071702</v>
      </c>
      <c r="G56" s="2">
        <v>55951.784648146102</v>
      </c>
      <c r="H56" s="2">
        <v>747751.15639727004</v>
      </c>
      <c r="I56" s="2">
        <v>605989.50585078599</v>
      </c>
      <c r="J56" s="2">
        <v>37662.011251300108</v>
      </c>
      <c r="K56" s="2">
        <v>24621.932937580161</v>
      </c>
      <c r="L56" s="2">
        <v>9761.5545693969761</v>
      </c>
      <c r="M56" s="2">
        <v>10715.316834938014</v>
      </c>
      <c r="N56" s="2">
        <v>10021.391443980203</v>
      </c>
      <c r="O56" s="2">
        <v>-54317.7729410459</v>
      </c>
      <c r="P56" s="2">
        <v>35906.310930931009</v>
      </c>
      <c r="Q56" s="2">
        <v>16848.814878606936</v>
      </c>
    </row>
    <row r="57" spans="1:17" x14ac:dyDescent="0.3">
      <c r="A57" s="1">
        <v>45352</v>
      </c>
      <c r="B57" s="2">
        <v>3172107.1868893099</v>
      </c>
      <c r="C57" s="2">
        <v>1954925.1680771101</v>
      </c>
      <c r="D57" s="2">
        <v>245406.63762037701</v>
      </c>
      <c r="E57" s="2">
        <v>983103.96570732701</v>
      </c>
      <c r="F57" s="2">
        <v>36298.9602433947</v>
      </c>
      <c r="G57" s="2">
        <v>54907.652104316003</v>
      </c>
      <c r="H57" s="2">
        <v>758520.02148293599</v>
      </c>
      <c r="I57" s="2">
        <v>622744.60957953404</v>
      </c>
      <c r="J57" s="2">
        <v>39742.004166929983</v>
      </c>
      <c r="K57" s="2">
        <v>35443.572144699981</v>
      </c>
      <c r="L57" s="2">
        <v>15870.334915450017</v>
      </c>
      <c r="M57" s="2">
        <v>11766.358105691965</v>
      </c>
      <c r="N57" s="2">
        <v>-2669.4378966770018</v>
      </c>
      <c r="O57" s="2">
        <v>-1044.1325438300992</v>
      </c>
      <c r="P57" s="2">
        <v>10768.865085665951</v>
      </c>
      <c r="Q57" s="2">
        <v>16755.103728748043</v>
      </c>
    </row>
    <row r="58" spans="1:17" x14ac:dyDescent="0.3">
      <c r="A58" s="1">
        <v>45444</v>
      </c>
      <c r="B58" s="2">
        <v>3209025.7594799302</v>
      </c>
      <c r="C58" s="2">
        <v>1972599.6326693699</v>
      </c>
      <c r="D58" s="2">
        <v>239475.11465815999</v>
      </c>
      <c r="E58" s="2">
        <v>990631.73586508306</v>
      </c>
      <c r="F58" s="2">
        <v>44136.253885865</v>
      </c>
      <c r="G58" s="2">
        <v>55313.099605020798</v>
      </c>
      <c r="H58" s="2">
        <v>761731.14548348601</v>
      </c>
      <c r="I58" s="2">
        <v>628048.89913015696</v>
      </c>
      <c r="J58" s="2">
        <v>36918.572590620257</v>
      </c>
      <c r="K58" s="2">
        <v>17674.464592259843</v>
      </c>
      <c r="L58" s="2">
        <v>-5931.5229622170154</v>
      </c>
      <c r="M58" s="2">
        <v>7527.770157756051</v>
      </c>
      <c r="N58" s="2">
        <v>7837.2936424703003</v>
      </c>
      <c r="O58" s="2">
        <v>405.44750070479495</v>
      </c>
      <c r="P58" s="2">
        <v>3211.1240005500149</v>
      </c>
      <c r="Q58" s="2">
        <v>5304.2895506229252</v>
      </c>
    </row>
    <row r="59" spans="1:17" x14ac:dyDescent="0.3">
      <c r="A59" s="1">
        <v>45536</v>
      </c>
      <c r="B59" s="2">
        <v>3248927.8034055899</v>
      </c>
      <c r="C59" s="2">
        <v>1993086.5903994599</v>
      </c>
      <c r="D59" s="2">
        <v>229780.850904566</v>
      </c>
      <c r="E59" s="2">
        <v>1003950.0205925599</v>
      </c>
      <c r="F59" s="2">
        <v>113977.06735473601</v>
      </c>
      <c r="G59" s="2">
        <v>52590.8650421485</v>
      </c>
      <c r="H59" s="2">
        <v>776924.45605870697</v>
      </c>
      <c r="I59" s="2">
        <v>659451.42008757603</v>
      </c>
      <c r="J59" s="2">
        <v>39902.043925659731</v>
      </c>
      <c r="K59" s="2">
        <v>20486.957730090013</v>
      </c>
      <c r="L59" s="2">
        <v>-9694.2637535939866</v>
      </c>
      <c r="M59" s="2">
        <v>13318.284727476886</v>
      </c>
      <c r="N59" s="2">
        <v>69840.813468870998</v>
      </c>
      <c r="O59" s="2">
        <v>-2722.2345628722978</v>
      </c>
      <c r="P59" s="2">
        <v>15193.310575220967</v>
      </c>
      <c r="Q59" s="2">
        <v>31402.520957419067</v>
      </c>
    </row>
    <row r="60" spans="1:17" x14ac:dyDescent="0.3">
      <c r="A60" s="1">
        <v>45627</v>
      </c>
      <c r="B60" s="2">
        <v>3288437.5118838199</v>
      </c>
      <c r="C60" s="2">
        <v>2016686.71608147</v>
      </c>
      <c r="D60" s="2">
        <v>243329.95643395299</v>
      </c>
      <c r="E60" s="2">
        <v>1014554.91678281</v>
      </c>
      <c r="F60" s="2">
        <v>50938.165372533302</v>
      </c>
      <c r="G60" s="2">
        <v>55322.974410186704</v>
      </c>
      <c r="H60" s="2">
        <v>805426.34649095999</v>
      </c>
      <c r="I60" s="2">
        <v>664397.64235672995</v>
      </c>
      <c r="J60" s="2">
        <v>39509.708478230052</v>
      </c>
      <c r="K60" s="2">
        <v>23600.125682010083</v>
      </c>
      <c r="L60" s="2">
        <v>13549.105529386987</v>
      </c>
      <c r="M60" s="2">
        <v>10604.89619025006</v>
      </c>
      <c r="N60" s="2">
        <v>-63038.901982202704</v>
      </c>
      <c r="O60" s="2">
        <v>2732.1093680382037</v>
      </c>
      <c r="P60" s="2">
        <v>28501.890432253014</v>
      </c>
      <c r="Q60" s="2">
        <v>4946.2222691539209</v>
      </c>
    </row>
    <row r="61" spans="1:17" x14ac:dyDescent="0.3">
      <c r="A61" s="9">
        <v>45717</v>
      </c>
      <c r="B61" s="10">
        <v>3328365.7576946602</v>
      </c>
      <c r="C61" s="10">
        <v>2032197.3562566601</v>
      </c>
      <c r="D61" s="10">
        <v>243084.4933035</v>
      </c>
      <c r="E61" s="10">
        <v>1025043.41887529</v>
      </c>
      <c r="F61" s="10">
        <v>51093.749367255303</v>
      </c>
      <c r="G61" s="10">
        <v>57813.166034023998</v>
      </c>
      <c r="H61" s="10">
        <v>806996.38551958103</v>
      </c>
      <c r="I61" s="10">
        <v>657540.200294788</v>
      </c>
      <c r="J61" s="10">
        <v>39928.245810840279</v>
      </c>
      <c r="K61" s="10">
        <v>15510.640175190056</v>
      </c>
      <c r="L61" s="10">
        <v>-245.4631304529903</v>
      </c>
      <c r="M61" s="10">
        <v>10488.502092479961</v>
      </c>
      <c r="N61" s="10">
        <v>155.58399472200108</v>
      </c>
      <c r="O61" s="10">
        <v>2490.1916238372942</v>
      </c>
      <c r="P61" s="10">
        <v>1570.0390286210459</v>
      </c>
      <c r="Q61" s="10">
        <v>-6857.4420619419543</v>
      </c>
    </row>
    <row r="62" spans="1:17" x14ac:dyDescent="0.3">
      <c r="A62" s="5">
        <v>45809</v>
      </c>
      <c r="B62" s="6">
        <v>3373020.4594137501</v>
      </c>
      <c r="C62" s="6">
        <v>2064502.92069913</v>
      </c>
      <c r="D62" s="6">
        <v>238760.60895960499</v>
      </c>
      <c r="E62" s="6">
        <v>1043811.72999346</v>
      </c>
      <c r="F62" s="6">
        <v>52950.951770742999</v>
      </c>
      <c r="G62" s="6">
        <v>59008.540820082402</v>
      </c>
      <c r="H62" s="6">
        <v>838115.04389244097</v>
      </c>
      <c r="I62" s="6">
        <v>686370.86832885898</v>
      </c>
      <c r="J62" s="7">
        <v>44654.701719089877</v>
      </c>
      <c r="K62" s="7">
        <v>32305.564442469971</v>
      </c>
      <c r="L62" s="7">
        <v>-4323.8843438950134</v>
      </c>
      <c r="M62" s="7">
        <v>18768.311118170037</v>
      </c>
      <c r="N62" s="7">
        <v>1857.2024034876958</v>
      </c>
      <c r="O62" s="7">
        <v>1195.3747860584044</v>
      </c>
      <c r="P62" s="7">
        <v>31118.658372859936</v>
      </c>
      <c r="Q62" s="7">
        <v>28830.668034070986</v>
      </c>
    </row>
    <row r="63" spans="1:17" x14ac:dyDescent="0.3">
      <c r="A63" s="5">
        <v>45901</v>
      </c>
      <c r="B63" s="6">
        <v>3416764.7764745099</v>
      </c>
      <c r="C63" s="6">
        <v>2094236.28688317</v>
      </c>
      <c r="D63" s="6">
        <v>242560.24831763</v>
      </c>
      <c r="E63" s="6">
        <v>1058328.4415317599</v>
      </c>
      <c r="F63" s="6">
        <v>56925.130784471803</v>
      </c>
      <c r="G63" s="6">
        <v>58355.541067468897</v>
      </c>
      <c r="H63" s="6">
        <v>845624.62908548198</v>
      </c>
      <c r="I63" s="6">
        <v>677268.42206640402</v>
      </c>
      <c r="J63" s="7">
        <v>43744.317060759757</v>
      </c>
      <c r="K63" s="7">
        <v>29733.366184039973</v>
      </c>
      <c r="L63" s="7">
        <v>3799.6393580250151</v>
      </c>
      <c r="M63" s="7">
        <v>14516.711538299918</v>
      </c>
      <c r="N63" s="7">
        <v>3974.1790137288044</v>
      </c>
      <c r="O63" s="7">
        <v>-652.99975261350482</v>
      </c>
      <c r="P63" s="7">
        <v>7509.5851930410136</v>
      </c>
      <c r="Q63" s="7">
        <v>-9102.4462624549633</v>
      </c>
    </row>
    <row r="64" spans="1:17" x14ac:dyDescent="0.3">
      <c r="A64" s="5">
        <v>45992</v>
      </c>
      <c r="B64" s="6">
        <v>3464430.08247433</v>
      </c>
      <c r="C64" s="6">
        <v>2122216.3733513299</v>
      </c>
      <c r="D64" s="6">
        <v>257579.362090774</v>
      </c>
      <c r="E64" s="6">
        <v>1073592.37921877</v>
      </c>
      <c r="F64" s="6">
        <v>58243.961967046896</v>
      </c>
      <c r="G64" s="6">
        <v>58987.353793566799</v>
      </c>
      <c r="H64" s="6">
        <v>830988.88400624006</v>
      </c>
      <c r="I64" s="6">
        <v>693319.17854566395</v>
      </c>
      <c r="J64" s="7">
        <v>47665.305999820121</v>
      </c>
      <c r="K64" s="7">
        <v>27980.08646815992</v>
      </c>
      <c r="L64" s="7">
        <v>15019.113773143996</v>
      </c>
      <c r="M64" s="7">
        <v>15263.937687010039</v>
      </c>
      <c r="N64" s="7">
        <v>1318.8311825750934</v>
      </c>
      <c r="O64" s="7">
        <v>631.81272609790176</v>
      </c>
      <c r="P64" s="7">
        <v>-14635.745079241926</v>
      </c>
      <c r="Q64" s="7">
        <v>16050.75647925993</v>
      </c>
    </row>
    <row r="65" spans="1:17" x14ac:dyDescent="0.3">
      <c r="A65" s="5">
        <v>46082</v>
      </c>
      <c r="B65" s="6">
        <v>3512870.7185242502</v>
      </c>
      <c r="C65" s="6">
        <v>2162283.25404457</v>
      </c>
      <c r="D65" s="6">
        <v>284136.10645646998</v>
      </c>
      <c r="E65" s="6">
        <v>1089769.02961592</v>
      </c>
      <c r="F65" s="6">
        <v>60427.072290560398</v>
      </c>
      <c r="G65" s="6">
        <v>59635.9007090745</v>
      </c>
      <c r="H65" s="6">
        <v>816656.42447191104</v>
      </c>
      <c r="I65" s="6">
        <v>696107.31265061302</v>
      </c>
      <c r="J65" s="7">
        <v>48440.636049920227</v>
      </c>
      <c r="K65" s="7">
        <v>40066.880693240091</v>
      </c>
      <c r="L65" s="7">
        <v>26556.74436569598</v>
      </c>
      <c r="M65" s="7">
        <v>16176.650397150079</v>
      </c>
      <c r="N65" s="7">
        <v>2183.1103235135015</v>
      </c>
      <c r="O65" s="7">
        <v>648.54691550770076</v>
      </c>
      <c r="P65" s="7">
        <v>-14332.459534329013</v>
      </c>
      <c r="Q65" s="7">
        <v>2788.1341049490729</v>
      </c>
    </row>
    <row r="66" spans="1:17" x14ac:dyDescent="0.3">
      <c r="J66" s="8">
        <f>AVERAGE(J2:J65)</f>
        <v>28700.585988579536</v>
      </c>
      <c r="K66" s="8">
        <f t="shared" ref="K66:Q66" si="0">AVERAGE(K2:K65)</f>
        <v>16626.004715969688</v>
      </c>
      <c r="L66" s="8">
        <f t="shared" si="0"/>
        <v>1993.3487656155621</v>
      </c>
      <c r="M66" s="8">
        <f t="shared" si="0"/>
        <v>8971.6688724755477</v>
      </c>
      <c r="N66" s="8">
        <f t="shared" si="0"/>
        <v>598.35460217249204</v>
      </c>
      <c r="O66" s="8">
        <f t="shared" si="0"/>
        <v>792.9180534951447</v>
      </c>
      <c r="P66" s="8">
        <f t="shared" si="0"/>
        <v>6421.4436325817351</v>
      </c>
      <c r="Q66" s="8">
        <f t="shared" si="0"/>
        <v>5141.3050820843755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SR87470257</Code>
          <DisplayName>Gross Domestic Product: SNA 2008: 2010p</DisplayName>
          <EndCol>2</EndCol>
          <EndRow>107</EndRow>
          <InitCol>2</InitCol>
          <InitRow>1</InitRow>
          <Name>Gross Domestic Product: SNA 2008: 2010p</Name>
          <Order>1</Order>
          <SeriesId>365749427</SeriesId>
        </MetadataSeries>
        <MetadataSeries>
          <Code>SR87470267</Code>
          <DisplayName>Gross Domestic Product: SNA 2008: 2010p: Consumption Expenditure</DisplayName>
          <EndCol>3</EndCol>
          <EndRow>107</EndRow>
          <InitCol>3</InitCol>
          <InitRow>1</InitRow>
          <Name>Gross Domestic Product: SNA 2008: 2010p: Consumption Expenditure</Name>
          <Order>2</Order>
          <SeriesId>365749337</SeriesId>
        </MetadataSeries>
        <MetadataSeries>
          <Code>SR87470367</Code>
          <DisplayName>Gross Domestic Product: SNA 2008: 2010p: Consumption Expenditure: Government</DisplayName>
          <EndCol>4</EndCol>
          <EndRow>107</EndRow>
          <InitCol>4</InitCol>
          <InitRow>1</InitRow>
          <Name>Gross Domestic Product: SNA 2008: 2010p: Consumption Expenditure: Government</Name>
          <Order>3</Order>
          <SeriesId>365749367</SeriesId>
        </MetadataSeries>
        <MetadataSeries>
          <Code>SR87470397</Code>
          <DisplayName>Gross Domestic Product: SNA 2008: 2010p: Gross Fixed Capital Formation</DisplayName>
          <EndCol>5</EndCol>
          <EndRow>107</EndRow>
          <InitCol>5</InitCol>
          <InitRow>1</InitRow>
          <Name>Gross Domestic Product: SNA 2008: 2010p: Gross Fixed Capital Formation</Name>
          <Order>4</Order>
          <SeriesId>365749377</SeriesId>
        </MetadataSeries>
        <MetadataSeries>
          <Code>SR87470467</Code>
          <DisplayName>Gross Domestic Product: SNA 2008: 2010p: Change in Stock</DisplayName>
          <EndCol>6</EndCol>
          <EndRow>107</EndRow>
          <InitCol>6</InitCol>
          <InitRow>1</InitRow>
          <Name>Gross Domestic Product: SNA 2008: 2010p: Change in Stock</Name>
          <Order>5</Order>
          <SeriesId>365749387</SeriesId>
        </MetadataSeries>
        <MetadataSeries>
          <Code>SR87470477</Code>
          <DisplayName>Gross Domestic Product: SNA 2008: 2010p: Statistic Discrepancy</DisplayName>
          <EndCol>7</EndCol>
          <EndRow>107</EndRow>
          <InitCol>7</InitCol>
          <InitRow>1</InitRow>
          <Name>Gross Domestic Product: SNA 2008: 2010p: Statistic Discrepancy</Name>
          <Order>6</Order>
          <SeriesId>365749397</SeriesId>
        </MetadataSeries>
        <MetadataSeries>
          <Code>SR87470487</Code>
          <DisplayName>Gross Domestic Product: SNA 2008: 2010p: Export of Goods and Services</DisplayName>
          <EndCol>8</EndCol>
          <EndRow>107</EndRow>
          <InitCol>8</InitCol>
          <InitRow>1</InitRow>
          <Name>Gross Domestic Product: SNA 2008: 2010p: Export of Goods and Services</Name>
          <Order>7</Order>
          <SeriesId>365749407</SeriesId>
        </MetadataSeries>
        <MetadataSeries>
          <Code>SR87470537</Code>
          <DisplayName>Gross Domestic Product: SNA 2008: 2010p: Imports of Goods and Services</DisplayName>
          <EndCol>9</EndCol>
          <EndRow>107</EndRow>
          <InitCol>9</InitCol>
          <InitRow>1</InitRow>
          <Name>Gross Domestic Product: SNA 2008: 2010p: Imports of Goods and Services</Name>
          <Order>8</Order>
          <SeriesId>365749417</SeriesId>
        </MetadataSeries>
        <MetadataSeries>
          <Code>SR87470257</Code>
          <DisplayName>Gross Domestic Product: SNA 2008: 2010p</DisplayName>
          <EndCol>10</EndCol>
          <EndRow>107</EndRow>
          <InitCol>10</InitCol>
          <InitRow>1</InitRow>
          <Name>Gross Domestic Product: SNA 2008: 2010p</Name>
          <Order>9</Order>
          <SeriesId>365749427</SeriesId>
        </MetadataSeries>
        <MetadataSeries>
          <Code>SR87470267</Code>
          <DisplayName>Gross Domestic Product: SNA 2008: 2010p: Consumption Expenditure</DisplayName>
          <EndCol>11</EndCol>
          <EndRow>107</EndRow>
          <InitCol>11</InitCol>
          <InitRow>1</InitRow>
          <Name>Gross Domestic Product: SNA 2008: 2010p: Consumption Expenditure</Name>
          <Order>10</Order>
          <SeriesId>365749337</SeriesId>
        </MetadataSeries>
        <MetadataSeries>
          <Code>SR87470367</Code>
          <DisplayName>Gross Domestic Product: SNA 2008: 2010p: Consumption Expenditure: Government</DisplayName>
          <EndCol>12</EndCol>
          <EndRow>107</EndRow>
          <InitCol>12</InitCol>
          <InitRow>1</InitRow>
          <Name>Gross Domestic Product: SNA 2008: 2010p: Consumption Expenditure: Government</Name>
          <Order>11</Order>
          <SeriesId>365749367</SeriesId>
        </MetadataSeries>
        <MetadataSeries>
          <Code>SR87470397</Code>
          <DisplayName>Gross Domestic Product: SNA 2008: 2010p: Gross Fixed Capital Formation</DisplayName>
          <EndCol>13</EndCol>
          <EndRow>107</EndRow>
          <InitCol>13</InitCol>
          <InitRow>1</InitRow>
          <Name>Gross Domestic Product: SNA 2008: 2010p: Gross Fixed Capital Formation</Name>
          <Order>12</Order>
          <SeriesId>365749377</SeriesId>
        </MetadataSeries>
        <MetadataSeries>
          <Code>SR87470467</Code>
          <DisplayName>Gross Domestic Product: SNA 2008: 2010p: Change in Stock</DisplayName>
          <EndCol>14</EndCol>
          <EndRow>107</EndRow>
          <InitCol>14</InitCol>
          <InitRow>1</InitRow>
          <Name>Gross Domestic Product: SNA 2008: 2010p: Change in Stock</Name>
          <Order>13</Order>
          <SeriesId>365749387</SeriesId>
        </MetadataSeries>
        <MetadataSeries>
          <Code>SR87470477</Code>
          <DisplayName>Gross Domestic Product: SNA 2008: 2010p: Statistic Discrepancy</DisplayName>
          <EndCol>15</EndCol>
          <EndRow>107</EndRow>
          <InitCol>15</InitCol>
          <InitRow>1</InitRow>
          <Name>Gross Domestic Product: SNA 2008: 2010p: Statistic Discrepancy</Name>
          <Order>14</Order>
          <SeriesId>365749397</SeriesId>
        </MetadataSeries>
        <MetadataSeries>
          <Code>SR87470487</Code>
          <DisplayName>Gross Domestic Product: SNA 2008: 2010p: Export of Goods and Services</DisplayName>
          <EndCol>16</EndCol>
          <EndRow>107</EndRow>
          <InitCol>16</InitCol>
          <InitRow>1</InitRow>
          <Name>Gross Domestic Product: SNA 2008: 2010p: Export of Goods and Services</Name>
          <Order>15</Order>
          <SeriesId>365749407</SeriesId>
        </MetadataSeries>
        <MetadataSeries>
          <Code>SR87470537</Code>
          <DisplayName>Gross Domestic Product: SNA 2008: 2010p: Imports of Goods and Services</DisplayName>
          <EndCol>17</EndCol>
          <EndRow>107</EndRow>
          <InitCol>17</InitCol>
          <InitRow>1</InitRow>
          <Name>Gross Domestic Product: SNA 2008: 2010p: Imports of Goods and Services</Name>
          <Order>16</Order>
          <SeriesId>365749417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B1C18B2-2207-44A1-A52F-AA63B1C772B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Sekar Utami SETIASTUTI</cp:lastModifiedBy>
  <dcterms:created xsi:type="dcterms:W3CDTF">2026-05-05T06:46:44Z</dcterms:created>
  <dcterms:modified xsi:type="dcterms:W3CDTF">2026-05-14T02:18:09Z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{2B1C18B2-2207-44A1-A52F-AA63B1C772B7}</vt:lpwstr>
  </property>
</Properties>
</file>